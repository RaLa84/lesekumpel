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ersonal, Investitionen etc." sheetId="2" state="visible" r:id="rId2"/>
    <sheet xmlns:r="http://schemas.openxmlformats.org/officeDocument/2006/relationships" name="Mikromezzanin" sheetId="3" state="visible" r:id="rId3"/>
    <sheet xmlns:r="http://schemas.openxmlformats.org/officeDocument/2006/relationships" name="Liquiditätsplan" sheetId="4" state="visible" r:id="rId4"/>
    <sheet xmlns:r="http://schemas.openxmlformats.org/officeDocument/2006/relationships" name="Rentabilitäts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;[Red]-#,##0.00 &quot;€&quot;;&quot;–&quot;"/>
  </numFmts>
  <fonts count="6">
    <font>
      <name val="Calibri"/>
      <family val="2"/>
      <color theme="1"/>
      <sz val="11"/>
      <scheme val="minor"/>
    </font>
    <font>
      <name val="Arial"/>
      <b val="1"/>
      <color rgb="002B3140"/>
      <sz val="18"/>
    </font>
    <font>
      <name val="Arial"/>
      <i val="1"/>
      <color rgb="007D6AE6"/>
      <sz val="11"/>
    </font>
    <font>
      <name val="Arial"/>
      <b val="1"/>
      <color rgb="002B3140"/>
      <sz val="10"/>
    </font>
    <font>
      <name val="Arial"/>
      <color rgb="002B3140"/>
      <sz val="10"/>
    </font>
    <font>
      <name val="Arial"/>
      <b val="1"/>
      <color rgb="00FFF6EF"/>
      <sz val="11"/>
    </font>
  </fonts>
  <fills count="7">
    <fill>
      <patternFill/>
    </fill>
    <fill>
      <patternFill patternType="gray125"/>
    </fill>
    <fill>
      <patternFill patternType="solid">
        <fgColor rgb="00FFD95A"/>
      </patternFill>
    </fill>
    <fill>
      <patternFill patternType="solid">
        <fgColor rgb="00D7F1ED"/>
      </patternFill>
    </fill>
    <fill>
      <patternFill patternType="solid">
        <fgColor rgb="002B3140"/>
      </patternFill>
    </fill>
    <fill>
      <patternFill patternType="solid">
        <fgColor rgb="00E8E4DC"/>
      </patternFill>
    </fill>
    <fill>
      <patternFill patternType="solid">
        <fgColor rgb="00E7E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164" fontId="3" fillId="2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2" borderId="0" pivotButton="0" quotePrefix="0" xfId="0"/>
    <xf numFmtId="164" fontId="3" fillId="3" borderId="0" pivotButton="0" quotePrefix="0" xfId="0"/>
    <xf numFmtId="0" fontId="3" fillId="2" borderId="0" pivotButton="0" quotePrefix="0" xfId="0"/>
    <xf numFmtId="10" fontId="3" fillId="2" borderId="0" pivotButton="0" quotePrefix="0" xfId="0"/>
    <xf numFmtId="0" fontId="5" fillId="4" borderId="0" applyAlignment="1" pivotButton="0" quotePrefix="0" xfId="0">
      <alignment horizontal="center" vertical="center" wrapText="1"/>
    </xf>
    <xf numFmtId="164" fontId="4" fillId="0" borderId="0" pivotButton="0" quotePrefix="0" xfId="0"/>
    <xf numFmtId="0" fontId="5" fillId="4" borderId="0" pivotButton="0" quotePrefix="0" xfId="0"/>
    <xf numFmtId="0" fontId="3" fillId="5" borderId="0" pivotButton="0" quotePrefix="0" xfId="0"/>
    <xf numFmtId="164" fontId="3" fillId="0" borderId="0" pivotButton="0" quotePrefix="0" xfId="0"/>
    <xf numFmtId="0" fontId="3" fillId="3" borderId="0" pivotButton="0" quotePrefix="0" xfId="0"/>
    <xf numFmtId="164" fontId="3" fillId="3" borderId="0" applyAlignment="1" pivotButton="0" quotePrefix="0" xfId="0">
      <alignment horizontal="right" vertical="center"/>
    </xf>
    <xf numFmtId="0" fontId="3" fillId="6" borderId="0" pivotButton="0" quotePrefix="0" xfId="0"/>
    <xf numFmtId="164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90" customWidth="1" min="3" max="3"/>
  </cols>
  <sheetData>
    <row r="1">
      <c r="A1" s="1" t="inlineStr">
        <is>
          <t>Lesekumpel — Geschäftsplan</t>
        </is>
      </c>
    </row>
    <row r="2">
      <c r="A2" s="2" t="inlineStr">
        <is>
          <t>INSPIRED Ideenwettbewerb MV 2026</t>
        </is>
      </c>
    </row>
    <row r="4">
      <c r="A4" s="3" t="inlineStr">
        <is>
          <t>Geschäftsmodell:</t>
        </is>
      </c>
      <c r="C4" s="4" t="inlineStr">
        <is>
          <t>Neuroinklusive Lese-Bibliothek für Kinder 5-10 (LRS · ADHS · Autismus)</t>
        </is>
      </c>
    </row>
    <row r="5">
      <c r="A5" s="3" t="inlineStr">
        <is>
          <t>Pricing:</t>
        </is>
      </c>
      <c r="C5" s="4" t="inlineStr">
        <is>
          <t>Familienpaket 4,99 €/Mon · Pro-Account 14,99 €/Mon · Kaffeekasse 1 €/2 Credits</t>
        </is>
      </c>
    </row>
    <row r="6">
      <c r="A6" s="3" t="inlineStr">
        <is>
          <t>Phasen:</t>
        </is>
      </c>
      <c r="C6" s="4" t="inlineStr">
        <is>
          <t>Konzeption (GbR · Eigenmittel) → Validierung (UG-Umfirmierung) → Skalierung (Mikromezzanin)</t>
        </is>
      </c>
    </row>
    <row r="7">
      <c r="A7" s="3" t="inlineStr">
        <is>
          <t>Finanzierung Phase 3:</t>
        </is>
      </c>
      <c r="C7" s="4" t="inlineStr">
        <is>
          <t>Mikromezzaninfonds II · 50.000 € · 8% p.a. · 10 J endfällig (MBG MV)</t>
        </is>
      </c>
    </row>
    <row r="8">
      <c r="A8" s="3" t="inlineStr">
        <is>
          <t>Break-Even:</t>
        </is>
      </c>
      <c r="C8" s="4" t="inlineStr">
        <is>
          <t>~200 Premium (moderate Ratio: 1 Pro + 5 Kaffee pro 100 Premium → 2 Pro + 10 Kaffee/Mon.)</t>
        </is>
      </c>
    </row>
    <row r="9">
      <c r="A9" s="3" t="inlineStr">
        <is>
          <t>Tragfähig (Skalierung):</t>
        </is>
      </c>
      <c r="C9" s="4" t="inlineStr">
        <is>
          <t>1.700 Premium · 8.500 €/Monat Umsatz = 8.500 € Kosten</t>
        </is>
      </c>
    </row>
    <row r="11">
      <c r="A11" s="3" t="inlineStr">
        <is>
          <t>Sheet-Struktur:</t>
        </is>
      </c>
      <c r="C11" s="4" t="inlineStr"/>
    </row>
    <row r="12">
      <c r="A12" s="3" t="inlineStr">
        <is>
          <t>Tab 1:</t>
        </is>
      </c>
      <c r="C12" s="4" t="inlineStr">
        <is>
          <t>Personal, Investitionen etc. — Übersicht 3-Jahres-Plan mit AfA</t>
        </is>
      </c>
    </row>
    <row r="13">
      <c r="A13" s="3" t="inlineStr">
        <is>
          <t>Tab 2:</t>
        </is>
      </c>
      <c r="C13" s="4" t="inlineStr">
        <is>
          <t>Mikromezzanin — Tilgungsplan über 120 Monate</t>
        </is>
      </c>
    </row>
    <row r="14">
      <c r="A14" s="3" t="inlineStr">
        <is>
          <t>Tab 3:</t>
        </is>
      </c>
      <c r="C14" s="4" t="inlineStr">
        <is>
          <t>Liquiditätsplan — monatlich J1, dann J2-J10 (Cashflow)</t>
        </is>
      </c>
    </row>
    <row r="15">
      <c r="A15" s="3" t="inlineStr">
        <is>
          <t>Tab 4:</t>
        </is>
      </c>
      <c r="C15" s="4" t="inlineStr">
        <is>
          <t>Rentabilitätsplan — monatlich J1, dann J2-J10 (GuV mit AfA + Zinsen)</t>
        </is>
      </c>
    </row>
    <row r="17">
      <c r="A17" s="3" t="inlineStr">
        <is>
          <t>Annahmen:</t>
        </is>
      </c>
      <c r="C17" s="4" t="inlineStr">
        <is>
          <t>siehe geschaeftsplan-annahmen.md</t>
        </is>
      </c>
    </row>
    <row r="18">
      <c r="A18" s="3" t="inlineStr">
        <is>
          <t>Reproduzierbar:</t>
        </is>
      </c>
      <c r="C18" s="4" t="inlineStr">
        <is>
          <t>python build-geschaeftsplan.py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3" t="inlineStr">
        <is>
          <t>Investitionen:</t>
        </is>
      </c>
      <c r="C1" s="3" t="inlineStr">
        <is>
          <t>Betrag</t>
        </is>
      </c>
    </row>
    <row r="2">
      <c r="B2" s="4" t="inlineStr">
        <is>
          <t>Rechner (2× MacBooks):</t>
        </is>
      </c>
      <c r="C2" s="5" t="n">
        <v>4000</v>
      </c>
    </row>
    <row r="3">
      <c r="B3" s="4" t="inlineStr">
        <is>
          <t>Monitore/Peripherie:</t>
        </is>
      </c>
      <c r="C3" s="5" t="n">
        <v>1000</v>
      </c>
    </row>
    <row r="4">
      <c r="B4" s="4" t="inlineStr">
        <is>
          <t>Markenanmeldung DPMA:</t>
        </is>
      </c>
      <c r="C4" s="5" t="n">
        <v>290</v>
      </c>
    </row>
    <row r="5">
      <c r="B5" s="4" t="inlineStr">
        <is>
          <t>Domain/Hosting-Setup:</t>
        </is>
      </c>
      <c r="C5" s="5" t="n">
        <v>200</v>
      </c>
    </row>
    <row r="6">
      <c r="B6" s="4" t="inlineStr">
        <is>
          <t>Rechts-Templates (eRecht24):</t>
        </is>
      </c>
      <c r="C6" s="5" t="n">
        <v>500</v>
      </c>
    </row>
    <row r="7">
      <c r="B7" s="3" t="inlineStr">
        <is>
          <t>Summe</t>
        </is>
      </c>
      <c r="C7" s="6" t="n">
        <v>5990</v>
      </c>
      <c r="E7" s="4" t="inlineStr">
        <is>
          <t>Finanzierung Phase 1+2: Eigenmittel (Bootstrap). Phase 3: Mikromezzanin 50.000 € (siehe Tab 2).</t>
        </is>
      </c>
    </row>
    <row r="9">
      <c r="A9" s="3" t="inlineStr">
        <is>
          <t>Kalkulatorische Abschreibung:</t>
        </is>
      </c>
      <c r="C9" s="3" t="inlineStr">
        <is>
          <t>Rechner</t>
        </is>
      </c>
      <c r="D9" s="3" t="inlineStr">
        <is>
          <t>Monitore</t>
        </is>
      </c>
      <c r="E9" s="3" t="inlineStr">
        <is>
          <t>Marke DPMA</t>
        </is>
      </c>
    </row>
    <row r="10">
      <c r="B10" s="4" t="inlineStr">
        <is>
          <t>Jahre:</t>
        </is>
      </c>
      <c r="C10" s="4" t="n">
        <v>3</v>
      </c>
      <c r="D10" s="4" t="n">
        <v>5</v>
      </c>
      <c r="E10" s="4" t="n">
        <v>10</v>
      </c>
    </row>
    <row r="11">
      <c r="B11" s="4" t="inlineStr">
        <is>
          <t>Abschreibungsbetrag je Jahr:</t>
        </is>
      </c>
      <c r="C11" s="7" t="n">
        <v>1333.333333333333</v>
      </c>
      <c r="D11" s="7" t="n">
        <v>200</v>
      </c>
      <c r="E11" s="7" t="n">
        <v>29</v>
      </c>
    </row>
    <row r="13">
      <c r="B13" s="3" t="inlineStr">
        <is>
          <t>Summe AfA pro Jahr:</t>
        </is>
      </c>
      <c r="C13" s="8" t="n">
        <v>1562.333333333333</v>
      </c>
    </row>
    <row r="16">
      <c r="A16" s="3" t="inlineStr">
        <is>
          <t>Einnahmen</t>
        </is>
      </c>
      <c r="C16" s="3" t="inlineStr">
        <is>
          <t>Jahr 1</t>
        </is>
      </c>
      <c r="D16" s="3" t="inlineStr">
        <is>
          <t>Jahr 2</t>
        </is>
      </c>
      <c r="E16" s="3" t="inlineStr">
        <is>
          <t>Jahr 3</t>
        </is>
      </c>
    </row>
    <row r="17">
      <c r="B17" s="4" t="inlineStr">
        <is>
          <t>Familienpaket (Premium 4,99 €)</t>
        </is>
      </c>
      <c r="C17" s="5" t="n">
        <v>2994</v>
      </c>
      <c r="D17" s="5" t="n">
        <v>17964</v>
      </c>
      <c r="E17" s="5" t="n">
        <v>59880</v>
      </c>
    </row>
    <row r="18">
      <c r="B18" s="4" t="inlineStr">
        <is>
          <t>Pro-Accounts (14,99 €)</t>
        </is>
      </c>
      <c r="C18" s="5" t="n">
        <v>179.88</v>
      </c>
      <c r="D18" s="5" t="n">
        <v>899.4</v>
      </c>
      <c r="E18" s="5" t="n">
        <v>3597.6</v>
      </c>
    </row>
    <row r="19">
      <c r="B19" s="4" t="inlineStr">
        <is>
          <t>Kaffeekassen (1 €)</t>
        </is>
      </c>
      <c r="C19" s="5" t="n">
        <v>36</v>
      </c>
      <c r="D19" s="5" t="n">
        <v>180</v>
      </c>
      <c r="E19" s="5" t="n">
        <v>600</v>
      </c>
    </row>
    <row r="20">
      <c r="B20" s="4" t="inlineStr">
        <is>
          <t>Förderung (Aktion Mensch/DATIpilot)</t>
        </is>
      </c>
      <c r="C20" s="5" t="n">
        <v>0</v>
      </c>
      <c r="D20" s="5" t="n">
        <v>0</v>
      </c>
      <c r="E20" s="5" t="n">
        <v>5000</v>
      </c>
    </row>
    <row r="21">
      <c r="B21" s="3" t="inlineStr">
        <is>
          <t>Summe Einnahmen (netto)</t>
        </is>
      </c>
      <c r="C21" s="9">
        <f>SUM(C17:C20)</f>
        <v/>
      </c>
      <c r="D21" s="9">
        <f>SUM(D17:D20)</f>
        <v/>
      </c>
      <c r="E21" s="9">
        <f>SUM(E17:E20)</f>
        <v/>
      </c>
    </row>
    <row r="24">
      <c r="A24" s="3" t="inlineStr">
        <is>
          <t>Ausgaben</t>
        </is>
      </c>
      <c r="C24" s="3" t="inlineStr">
        <is>
          <t>Jahr 1</t>
        </is>
      </c>
      <c r="D24" s="3" t="inlineStr">
        <is>
          <t>Jahr 2</t>
        </is>
      </c>
      <c r="E24" s="3" t="inlineStr">
        <is>
          <t>Jahr 3</t>
        </is>
      </c>
    </row>
    <row r="25">
      <c r="B25" s="4" t="inlineStr">
        <is>
          <t>LLM-Token + Bildgenerierung</t>
        </is>
      </c>
      <c r="C25" s="5" t="n">
        <v>2880</v>
      </c>
      <c r="D25" s="5" t="n">
        <v>17280</v>
      </c>
      <c r="E25" s="5" t="n">
        <v>33600</v>
      </c>
    </row>
    <row r="26">
      <c r="B26" s="4" t="inlineStr">
        <is>
          <t>Stripe-Gebühren (1,4 % + 0,25 €)</t>
        </is>
      </c>
      <c r="C26" s="5" t="n">
        <v>206.93832</v>
      </c>
      <c r="D26" s="5" t="n">
        <v>1226.6076</v>
      </c>
      <c r="E26" s="5" t="n">
        <v>4107.0864</v>
      </c>
    </row>
    <row r="27">
      <c r="B27" s="4" t="inlineStr">
        <is>
          <t>Hosting · Backend · CDN</t>
        </is>
      </c>
      <c r="C27" s="5" t="n">
        <v>300</v>
      </c>
      <c r="D27" s="5" t="n">
        <v>900</v>
      </c>
      <c r="E27" s="5" t="n">
        <v>4800</v>
      </c>
    </row>
    <row r="28">
      <c r="B28" s="4" t="inlineStr">
        <is>
          <t>Recht · Buchhaltung · Versicherung (GbR ab J1 · UG ab J2)</t>
        </is>
      </c>
      <c r="C28" s="5" t="n">
        <v>600</v>
      </c>
      <c r="D28" s="5" t="n">
        <v>3000</v>
      </c>
      <c r="E28" s="5" t="n">
        <v>6000</v>
      </c>
    </row>
    <row r="29">
      <c r="B29" s="4" t="inlineStr">
        <is>
          <t>Dev-Tools · Subscriptions (Claude Max etc.)</t>
        </is>
      </c>
      <c r="C29" s="5" t="n">
        <v>1200</v>
      </c>
      <c r="D29" s="5" t="n">
        <v>1440</v>
      </c>
      <c r="E29" s="5" t="n">
        <v>1800</v>
      </c>
    </row>
    <row r="30">
      <c r="B30" s="4" t="inlineStr">
        <is>
          <t>Marketing · Merch · Messen</t>
        </is>
      </c>
      <c r="C30" s="5" t="n">
        <v>120</v>
      </c>
      <c r="D30" s="5" t="n">
        <v>1200</v>
      </c>
      <c r="E30" s="5" t="n">
        <v>6000</v>
      </c>
    </row>
    <row r="31">
      <c r="B31" s="4" t="inlineStr">
        <is>
          <t>Strom · Internet · Reisekosten · Sonstige</t>
        </is>
      </c>
      <c r="C31" s="5" t="n">
        <v>600</v>
      </c>
      <c r="D31" s="5" t="n">
        <v>960</v>
      </c>
      <c r="E31" s="5" t="n">
        <v>2040</v>
      </c>
    </row>
    <row r="32">
      <c r="B32" s="4" t="inlineStr">
        <is>
          <t>Gründer:innen-Entnahme (Teilzeit J3: 3×1.000 €)</t>
        </is>
      </c>
      <c r="C32" s="5" t="n">
        <v>0</v>
      </c>
      <c r="D32" s="5" t="n">
        <v>0</v>
      </c>
      <c r="E32" s="5" t="n">
        <v>36000</v>
      </c>
    </row>
    <row r="33">
      <c r="B33" s="4" t="inlineStr">
        <is>
          <t>Mitarbeiter:in (ab Q3 J3 für 3 Monate)</t>
        </is>
      </c>
      <c r="C33" s="5" t="n">
        <v>0</v>
      </c>
      <c r="D33" s="5" t="n">
        <v>0</v>
      </c>
      <c r="E33" s="5" t="n">
        <v>9000</v>
      </c>
    </row>
    <row r="34">
      <c r="B34" s="4" t="inlineStr">
        <is>
          <t>Zinsaufwand Mikromezzanin (ab Monat 26)</t>
        </is>
      </c>
      <c r="C34" s="5" t="n">
        <v>0</v>
      </c>
      <c r="D34" s="5" t="n">
        <v>0</v>
      </c>
      <c r="E34" s="5" t="n">
        <v>4000</v>
      </c>
    </row>
    <row r="35">
      <c r="B35" s="3" t="inlineStr">
        <is>
          <t>Summe Ausgaben</t>
        </is>
      </c>
      <c r="C35" s="8">
        <f>SUM(C25:C34)</f>
        <v/>
      </c>
      <c r="D35" s="8">
        <f>SUM(D25:D34)</f>
        <v/>
      </c>
      <c r="E35" s="8">
        <f>SUM(E25:E34)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1">
      <c r="A1" s="3" t="inlineStr">
        <is>
          <t>Kapital:</t>
        </is>
      </c>
      <c r="B1" s="8" t="n">
        <v>50000</v>
      </c>
      <c r="D1" s="3" t="inlineStr">
        <is>
          <t>Laufzeit Monate:</t>
        </is>
      </c>
      <c r="E1" s="10" t="n">
        <v>120</v>
      </c>
      <c r="G1" s="3" t="inlineStr">
        <is>
          <t>Programm: Mikromezzaninfonds II · MBG MV</t>
        </is>
      </c>
    </row>
    <row r="2">
      <c r="A2" s="3" t="inlineStr">
        <is>
          <t>Zinssatz p.a.:</t>
        </is>
      </c>
      <c r="B2" s="11" t="n">
        <v>0.08</v>
      </c>
      <c r="D2" s="3" t="inlineStr">
        <is>
          <t>Monatlicher Zins:</t>
        </is>
      </c>
      <c r="E2" s="8" t="n">
        <v>333.3333333333333</v>
      </c>
      <c r="G2" s="4" t="inlineStr">
        <is>
          <t>Tilgung: endfällig in Monat 144 · keine Sicherheiten · stille Beteiligung (keine Stimmrechte)</t>
        </is>
      </c>
    </row>
    <row r="5">
      <c r="A5" s="12" t="inlineStr">
        <is>
          <t>Monat</t>
        </is>
      </c>
      <c r="B5" s="12" t="inlineStr">
        <is>
          <t>Auszahlung</t>
        </is>
      </c>
      <c r="C5" s="12" t="inlineStr">
        <is>
          <t>Kapital Anfang</t>
        </is>
      </c>
      <c r="D5" s="12" t="inlineStr">
        <is>
          <t>Zins</t>
        </is>
      </c>
      <c r="E5" s="12" t="inlineStr">
        <is>
          <t>Tilgung</t>
        </is>
      </c>
      <c r="F5" s="12" t="inlineStr">
        <is>
          <t>Kapital Ende</t>
        </is>
      </c>
      <c r="G5" s="12" t="inlineStr">
        <is>
          <t>Jahres-Marker</t>
        </is>
      </c>
    </row>
    <row r="6">
      <c r="A6" s="4" t="n">
        <v>25</v>
      </c>
      <c r="B6" s="9" t="n">
        <v>50000</v>
      </c>
      <c r="C6" s="13" t="n">
        <v>0</v>
      </c>
      <c r="D6" s="13" t="n"/>
      <c r="E6" s="13" t="n"/>
      <c r="F6" s="13" t="n">
        <v>50000</v>
      </c>
    </row>
    <row r="7">
      <c r="A7" s="4" t="n">
        <v>26</v>
      </c>
      <c r="B7" s="13" t="n"/>
      <c r="C7" s="13" t="n">
        <v>50000</v>
      </c>
      <c r="D7" s="13" t="n">
        <v>333.3333333333333</v>
      </c>
      <c r="E7" s="13" t="n"/>
      <c r="F7" s="13" t="n">
        <v>50000</v>
      </c>
    </row>
    <row r="8">
      <c r="A8" s="4" t="n">
        <v>27</v>
      </c>
      <c r="B8" s="13" t="n"/>
      <c r="C8" s="13" t="n">
        <v>50000</v>
      </c>
      <c r="D8" s="13" t="n">
        <v>333.3333333333333</v>
      </c>
      <c r="E8" s="13" t="n"/>
      <c r="F8" s="13" t="n">
        <v>50000</v>
      </c>
    </row>
    <row r="9">
      <c r="A9" s="4" t="n">
        <v>28</v>
      </c>
      <c r="B9" s="13" t="n"/>
      <c r="C9" s="13" t="n">
        <v>50000</v>
      </c>
      <c r="D9" s="13" t="n">
        <v>333.3333333333333</v>
      </c>
      <c r="E9" s="13" t="n"/>
      <c r="F9" s="13" t="n">
        <v>50000</v>
      </c>
    </row>
    <row r="10">
      <c r="A10" s="4" t="n">
        <v>29</v>
      </c>
      <c r="B10" s="13" t="n"/>
      <c r="C10" s="13" t="n">
        <v>50000</v>
      </c>
      <c r="D10" s="13" t="n">
        <v>333.3333333333333</v>
      </c>
      <c r="E10" s="13" t="n"/>
      <c r="F10" s="13" t="n">
        <v>50000</v>
      </c>
    </row>
    <row r="11">
      <c r="A11" s="4" t="n">
        <v>30</v>
      </c>
      <c r="B11" s="13" t="n"/>
      <c r="C11" s="13" t="n">
        <v>50000</v>
      </c>
      <c r="D11" s="13" t="n">
        <v>333.3333333333333</v>
      </c>
      <c r="E11" s="13" t="n"/>
      <c r="F11" s="13" t="n">
        <v>50000</v>
      </c>
    </row>
    <row r="12">
      <c r="A12" s="4" t="n">
        <v>31</v>
      </c>
      <c r="B12" s="13" t="n"/>
      <c r="C12" s="13" t="n">
        <v>50000</v>
      </c>
      <c r="D12" s="13" t="n">
        <v>333.3333333333333</v>
      </c>
      <c r="E12" s="13" t="n"/>
      <c r="F12" s="13" t="n">
        <v>50000</v>
      </c>
    </row>
    <row r="13">
      <c r="A13" s="4" t="n">
        <v>32</v>
      </c>
      <c r="B13" s="13" t="n"/>
      <c r="C13" s="13" t="n">
        <v>50000</v>
      </c>
      <c r="D13" s="13" t="n">
        <v>333.3333333333333</v>
      </c>
      <c r="E13" s="13" t="n"/>
      <c r="F13" s="13" t="n">
        <v>50000</v>
      </c>
    </row>
    <row r="14">
      <c r="A14" s="4" t="n">
        <v>33</v>
      </c>
      <c r="B14" s="13" t="n"/>
      <c r="C14" s="13" t="n">
        <v>50000</v>
      </c>
      <c r="D14" s="13" t="n">
        <v>333.3333333333333</v>
      </c>
      <c r="E14" s="13" t="n"/>
      <c r="F14" s="13" t="n">
        <v>50000</v>
      </c>
    </row>
    <row r="15">
      <c r="A15" s="4" t="n">
        <v>34</v>
      </c>
      <c r="B15" s="13" t="n"/>
      <c r="C15" s="13" t="n">
        <v>50000</v>
      </c>
      <c r="D15" s="13" t="n">
        <v>333.3333333333333</v>
      </c>
      <c r="E15" s="13" t="n"/>
      <c r="F15" s="13" t="n">
        <v>50000</v>
      </c>
    </row>
    <row r="16">
      <c r="A16" s="4" t="n">
        <v>35</v>
      </c>
      <c r="B16" s="13" t="n"/>
      <c r="C16" s="13" t="n">
        <v>50000</v>
      </c>
      <c r="D16" s="13" t="n">
        <v>333.3333333333333</v>
      </c>
      <c r="E16" s="13" t="n"/>
      <c r="F16" s="13" t="n">
        <v>50000</v>
      </c>
    </row>
    <row r="17">
      <c r="A17" s="4" t="n">
        <v>36</v>
      </c>
      <c r="B17" s="13" t="n"/>
      <c r="C17" s="13" t="n">
        <v>50000</v>
      </c>
      <c r="D17" s="13" t="n">
        <v>333.3333333333333</v>
      </c>
      <c r="E17" s="13" t="n"/>
      <c r="F17" s="13" t="n">
        <v>50000</v>
      </c>
      <c r="G17" s="10" t="inlineStr">
        <is>
          <t>Jahr 1</t>
        </is>
      </c>
    </row>
    <row r="18">
      <c r="A18" s="4" t="n">
        <v>37</v>
      </c>
      <c r="B18" s="13" t="n"/>
      <c r="C18" s="13" t="n">
        <v>50000</v>
      </c>
      <c r="D18" s="13" t="n">
        <v>333.3333333333333</v>
      </c>
      <c r="E18" s="13" t="n"/>
      <c r="F18" s="13" t="n">
        <v>50000</v>
      </c>
    </row>
    <row r="19">
      <c r="A19" s="4" t="n">
        <v>38</v>
      </c>
      <c r="B19" s="13" t="n"/>
      <c r="C19" s="13" t="n">
        <v>50000</v>
      </c>
      <c r="D19" s="13" t="n">
        <v>333.3333333333333</v>
      </c>
      <c r="E19" s="13" t="n"/>
      <c r="F19" s="13" t="n">
        <v>50000</v>
      </c>
    </row>
    <row r="20">
      <c r="A20" s="4" t="n">
        <v>39</v>
      </c>
      <c r="B20" s="13" t="n"/>
      <c r="C20" s="13" t="n">
        <v>50000</v>
      </c>
      <c r="D20" s="13" t="n">
        <v>333.3333333333333</v>
      </c>
      <c r="E20" s="13" t="n"/>
      <c r="F20" s="13" t="n">
        <v>50000</v>
      </c>
    </row>
    <row r="21">
      <c r="A21" s="4" t="n">
        <v>40</v>
      </c>
      <c r="B21" s="13" t="n"/>
      <c r="C21" s="13" t="n">
        <v>50000</v>
      </c>
      <c r="D21" s="13" t="n">
        <v>333.3333333333333</v>
      </c>
      <c r="E21" s="13" t="n"/>
      <c r="F21" s="13" t="n">
        <v>50000</v>
      </c>
    </row>
    <row r="22">
      <c r="A22" s="4" t="n">
        <v>41</v>
      </c>
      <c r="B22" s="13" t="n"/>
      <c r="C22" s="13" t="n">
        <v>50000</v>
      </c>
      <c r="D22" s="13" t="n">
        <v>333.3333333333333</v>
      </c>
      <c r="E22" s="13" t="n"/>
      <c r="F22" s="13" t="n">
        <v>50000</v>
      </c>
    </row>
    <row r="23">
      <c r="A23" s="4" t="n">
        <v>42</v>
      </c>
      <c r="B23" s="13" t="n"/>
      <c r="C23" s="13" t="n">
        <v>50000</v>
      </c>
      <c r="D23" s="13" t="n">
        <v>333.3333333333333</v>
      </c>
      <c r="E23" s="13" t="n"/>
      <c r="F23" s="13" t="n">
        <v>50000</v>
      </c>
    </row>
    <row r="24">
      <c r="A24" s="4" t="n">
        <v>43</v>
      </c>
      <c r="B24" s="13" t="n"/>
      <c r="C24" s="13" t="n">
        <v>50000</v>
      </c>
      <c r="D24" s="13" t="n">
        <v>333.3333333333333</v>
      </c>
      <c r="E24" s="13" t="n"/>
      <c r="F24" s="13" t="n">
        <v>50000</v>
      </c>
    </row>
    <row r="25">
      <c r="A25" s="4" t="n">
        <v>44</v>
      </c>
      <c r="B25" s="13" t="n"/>
      <c r="C25" s="13" t="n">
        <v>50000</v>
      </c>
      <c r="D25" s="13" t="n">
        <v>333.3333333333333</v>
      </c>
      <c r="E25" s="13" t="n"/>
      <c r="F25" s="13" t="n">
        <v>50000</v>
      </c>
    </row>
    <row r="26">
      <c r="A26" s="4" t="n">
        <v>45</v>
      </c>
      <c r="B26" s="13" t="n"/>
      <c r="C26" s="13" t="n">
        <v>50000</v>
      </c>
      <c r="D26" s="13" t="n">
        <v>333.3333333333333</v>
      </c>
      <c r="E26" s="13" t="n"/>
      <c r="F26" s="13" t="n">
        <v>50000</v>
      </c>
    </row>
    <row r="27">
      <c r="A27" s="4" t="n">
        <v>46</v>
      </c>
      <c r="B27" s="13" t="n"/>
      <c r="C27" s="13" t="n">
        <v>50000</v>
      </c>
      <c r="D27" s="13" t="n">
        <v>333.3333333333333</v>
      </c>
      <c r="E27" s="13" t="n"/>
      <c r="F27" s="13" t="n">
        <v>50000</v>
      </c>
    </row>
    <row r="28">
      <c r="A28" s="4" t="n">
        <v>47</v>
      </c>
      <c r="B28" s="13" t="n"/>
      <c r="C28" s="13" t="n">
        <v>50000</v>
      </c>
      <c r="D28" s="13" t="n">
        <v>333.3333333333333</v>
      </c>
      <c r="E28" s="13" t="n"/>
      <c r="F28" s="13" t="n">
        <v>50000</v>
      </c>
    </row>
    <row r="29">
      <c r="A29" s="4" t="n">
        <v>48</v>
      </c>
      <c r="B29" s="13" t="n"/>
      <c r="C29" s="13" t="n">
        <v>50000</v>
      </c>
      <c r="D29" s="13" t="n">
        <v>333.3333333333333</v>
      </c>
      <c r="E29" s="13" t="n"/>
      <c r="F29" s="13" t="n">
        <v>50000</v>
      </c>
      <c r="G29" s="10" t="inlineStr">
        <is>
          <t>Jahr 2</t>
        </is>
      </c>
    </row>
    <row r="30">
      <c r="A30" s="4" t="n">
        <v>49</v>
      </c>
      <c r="B30" s="13" t="n"/>
      <c r="C30" s="13" t="n">
        <v>50000</v>
      </c>
      <c r="D30" s="13" t="n">
        <v>333.3333333333333</v>
      </c>
      <c r="E30" s="13" t="n"/>
      <c r="F30" s="13" t="n">
        <v>50000</v>
      </c>
    </row>
    <row r="31">
      <c r="A31" s="4" t="n">
        <v>50</v>
      </c>
      <c r="B31" s="13" t="n"/>
      <c r="C31" s="13" t="n">
        <v>50000</v>
      </c>
      <c r="D31" s="13" t="n">
        <v>333.3333333333333</v>
      </c>
      <c r="E31" s="13" t="n"/>
      <c r="F31" s="13" t="n">
        <v>50000</v>
      </c>
    </row>
    <row r="32">
      <c r="A32" s="4" t="n">
        <v>51</v>
      </c>
      <c r="B32" s="13" t="n"/>
      <c r="C32" s="13" t="n">
        <v>50000</v>
      </c>
      <c r="D32" s="13" t="n">
        <v>333.3333333333333</v>
      </c>
      <c r="E32" s="13" t="n"/>
      <c r="F32" s="13" t="n">
        <v>50000</v>
      </c>
    </row>
    <row r="33">
      <c r="A33" s="4" t="n">
        <v>52</v>
      </c>
      <c r="B33" s="13" t="n"/>
      <c r="C33" s="13" t="n">
        <v>50000</v>
      </c>
      <c r="D33" s="13" t="n">
        <v>333.3333333333333</v>
      </c>
      <c r="E33" s="13" t="n"/>
      <c r="F33" s="13" t="n">
        <v>50000</v>
      </c>
    </row>
    <row r="34">
      <c r="A34" s="4" t="n">
        <v>53</v>
      </c>
      <c r="B34" s="13" t="n"/>
      <c r="C34" s="13" t="n">
        <v>50000</v>
      </c>
      <c r="D34" s="13" t="n">
        <v>333.3333333333333</v>
      </c>
      <c r="E34" s="13" t="n"/>
      <c r="F34" s="13" t="n">
        <v>50000</v>
      </c>
    </row>
    <row r="35">
      <c r="A35" s="4" t="n">
        <v>54</v>
      </c>
      <c r="B35" s="13" t="n"/>
      <c r="C35" s="13" t="n">
        <v>50000</v>
      </c>
      <c r="D35" s="13" t="n">
        <v>333.3333333333333</v>
      </c>
      <c r="E35" s="13" t="n"/>
      <c r="F35" s="13" t="n">
        <v>50000</v>
      </c>
    </row>
    <row r="36">
      <c r="A36" s="4" t="n">
        <v>55</v>
      </c>
      <c r="B36" s="13" t="n"/>
      <c r="C36" s="13" t="n">
        <v>50000</v>
      </c>
      <c r="D36" s="13" t="n">
        <v>333.3333333333333</v>
      </c>
      <c r="E36" s="13" t="n"/>
      <c r="F36" s="13" t="n">
        <v>50000</v>
      </c>
    </row>
    <row r="37">
      <c r="A37" s="4" t="n">
        <v>56</v>
      </c>
      <c r="B37" s="13" t="n"/>
      <c r="C37" s="13" t="n">
        <v>50000</v>
      </c>
      <c r="D37" s="13" t="n">
        <v>333.3333333333333</v>
      </c>
      <c r="E37" s="13" t="n"/>
      <c r="F37" s="13" t="n">
        <v>50000</v>
      </c>
    </row>
    <row r="38">
      <c r="A38" s="4" t="n">
        <v>57</v>
      </c>
      <c r="B38" s="13" t="n"/>
      <c r="C38" s="13" t="n">
        <v>50000</v>
      </c>
      <c r="D38" s="13" t="n">
        <v>333.3333333333333</v>
      </c>
      <c r="E38" s="13" t="n"/>
      <c r="F38" s="13" t="n">
        <v>50000</v>
      </c>
    </row>
    <row r="39">
      <c r="A39" s="4" t="n">
        <v>58</v>
      </c>
      <c r="B39" s="13" t="n"/>
      <c r="C39" s="13" t="n">
        <v>50000</v>
      </c>
      <c r="D39" s="13" t="n">
        <v>333.3333333333333</v>
      </c>
      <c r="E39" s="13" t="n"/>
      <c r="F39" s="13" t="n">
        <v>50000</v>
      </c>
    </row>
    <row r="40">
      <c r="A40" s="4" t="n">
        <v>59</v>
      </c>
      <c r="B40" s="13" t="n"/>
      <c r="C40" s="13" t="n">
        <v>50000</v>
      </c>
      <c r="D40" s="13" t="n">
        <v>333.3333333333333</v>
      </c>
      <c r="E40" s="13" t="n"/>
      <c r="F40" s="13" t="n">
        <v>50000</v>
      </c>
    </row>
    <row r="41">
      <c r="A41" s="4" t="n">
        <v>60</v>
      </c>
      <c r="B41" s="13" t="n"/>
      <c r="C41" s="13" t="n">
        <v>50000</v>
      </c>
      <c r="D41" s="13" t="n">
        <v>333.3333333333333</v>
      </c>
      <c r="E41" s="13" t="n"/>
      <c r="F41" s="13" t="n">
        <v>50000</v>
      </c>
      <c r="G41" s="10" t="inlineStr">
        <is>
          <t>Jahr 3</t>
        </is>
      </c>
    </row>
    <row r="42">
      <c r="A42" s="4" t="n">
        <v>61</v>
      </c>
      <c r="B42" s="13" t="n"/>
      <c r="C42" s="13" t="n">
        <v>50000</v>
      </c>
      <c r="D42" s="13" t="n">
        <v>333.3333333333333</v>
      </c>
      <c r="E42" s="13" t="n"/>
      <c r="F42" s="13" t="n">
        <v>50000</v>
      </c>
    </row>
    <row r="43">
      <c r="A43" s="4" t="n">
        <v>62</v>
      </c>
      <c r="B43" s="13" t="n"/>
      <c r="C43" s="13" t="n">
        <v>50000</v>
      </c>
      <c r="D43" s="13" t="n">
        <v>333.3333333333333</v>
      </c>
      <c r="E43" s="13" t="n"/>
      <c r="F43" s="13" t="n">
        <v>50000</v>
      </c>
    </row>
    <row r="44">
      <c r="A44" s="4" t="n">
        <v>63</v>
      </c>
      <c r="B44" s="13" t="n"/>
      <c r="C44" s="13" t="n">
        <v>50000</v>
      </c>
      <c r="D44" s="13" t="n">
        <v>333.3333333333333</v>
      </c>
      <c r="E44" s="13" t="n"/>
      <c r="F44" s="13" t="n">
        <v>50000</v>
      </c>
    </row>
    <row r="45">
      <c r="A45" s="4" t="n">
        <v>64</v>
      </c>
      <c r="B45" s="13" t="n"/>
      <c r="C45" s="13" t="n">
        <v>50000</v>
      </c>
      <c r="D45" s="13" t="n">
        <v>333.3333333333333</v>
      </c>
      <c r="E45" s="13" t="n"/>
      <c r="F45" s="13" t="n">
        <v>50000</v>
      </c>
    </row>
    <row r="46">
      <c r="A46" s="4" t="n">
        <v>65</v>
      </c>
      <c r="B46" s="13" t="n"/>
      <c r="C46" s="13" t="n">
        <v>50000</v>
      </c>
      <c r="D46" s="13" t="n">
        <v>333.3333333333333</v>
      </c>
      <c r="E46" s="13" t="n"/>
      <c r="F46" s="13" t="n">
        <v>50000</v>
      </c>
    </row>
    <row r="47">
      <c r="A47" s="4" t="n">
        <v>66</v>
      </c>
      <c r="B47" s="13" t="n"/>
      <c r="C47" s="13" t="n">
        <v>50000</v>
      </c>
      <c r="D47" s="13" t="n">
        <v>333.3333333333333</v>
      </c>
      <c r="E47" s="13" t="n"/>
      <c r="F47" s="13" t="n">
        <v>50000</v>
      </c>
    </row>
    <row r="48">
      <c r="A48" s="4" t="n">
        <v>67</v>
      </c>
      <c r="B48" s="13" t="n"/>
      <c r="C48" s="13" t="n">
        <v>50000</v>
      </c>
      <c r="D48" s="13" t="n">
        <v>333.3333333333333</v>
      </c>
      <c r="E48" s="13" t="n"/>
      <c r="F48" s="13" t="n">
        <v>50000</v>
      </c>
    </row>
    <row r="49">
      <c r="A49" s="4" t="n">
        <v>68</v>
      </c>
      <c r="B49" s="13" t="n"/>
      <c r="C49" s="13" t="n">
        <v>50000</v>
      </c>
      <c r="D49" s="13" t="n">
        <v>333.3333333333333</v>
      </c>
      <c r="E49" s="13" t="n"/>
      <c r="F49" s="13" t="n">
        <v>50000</v>
      </c>
    </row>
    <row r="50">
      <c r="A50" s="4" t="n">
        <v>69</v>
      </c>
      <c r="B50" s="13" t="n"/>
      <c r="C50" s="13" t="n">
        <v>50000</v>
      </c>
      <c r="D50" s="13" t="n">
        <v>333.3333333333333</v>
      </c>
      <c r="E50" s="13" t="n"/>
      <c r="F50" s="13" t="n">
        <v>50000</v>
      </c>
    </row>
    <row r="51">
      <c r="A51" s="4" t="n">
        <v>70</v>
      </c>
      <c r="B51" s="13" t="n"/>
      <c r="C51" s="13" t="n">
        <v>50000</v>
      </c>
      <c r="D51" s="13" t="n">
        <v>333.3333333333333</v>
      </c>
      <c r="E51" s="13" t="n"/>
      <c r="F51" s="13" t="n">
        <v>50000</v>
      </c>
    </row>
    <row r="52">
      <c r="A52" s="4" t="n">
        <v>71</v>
      </c>
      <c r="B52" s="13" t="n"/>
      <c r="C52" s="13" t="n">
        <v>50000</v>
      </c>
      <c r="D52" s="13" t="n">
        <v>333.3333333333333</v>
      </c>
      <c r="E52" s="13" t="n"/>
      <c r="F52" s="13" t="n">
        <v>50000</v>
      </c>
    </row>
    <row r="53">
      <c r="A53" s="4" t="n">
        <v>72</v>
      </c>
      <c r="B53" s="13" t="n"/>
      <c r="C53" s="13" t="n">
        <v>50000</v>
      </c>
      <c r="D53" s="13" t="n">
        <v>333.3333333333333</v>
      </c>
      <c r="E53" s="13" t="n"/>
      <c r="F53" s="13" t="n">
        <v>50000</v>
      </c>
      <c r="G53" s="10" t="inlineStr">
        <is>
          <t>Jahr 4</t>
        </is>
      </c>
    </row>
    <row r="54">
      <c r="A54" s="4" t="n">
        <v>73</v>
      </c>
      <c r="B54" s="13" t="n"/>
      <c r="C54" s="13" t="n">
        <v>50000</v>
      </c>
      <c r="D54" s="13" t="n">
        <v>333.3333333333333</v>
      </c>
      <c r="E54" s="13" t="n"/>
      <c r="F54" s="13" t="n">
        <v>50000</v>
      </c>
    </row>
    <row r="55">
      <c r="A55" s="4" t="n">
        <v>74</v>
      </c>
      <c r="B55" s="13" t="n"/>
      <c r="C55" s="13" t="n">
        <v>50000</v>
      </c>
      <c r="D55" s="13" t="n">
        <v>333.3333333333333</v>
      </c>
      <c r="E55" s="13" t="n"/>
      <c r="F55" s="13" t="n">
        <v>50000</v>
      </c>
    </row>
    <row r="56">
      <c r="A56" s="4" t="n">
        <v>75</v>
      </c>
      <c r="B56" s="13" t="n"/>
      <c r="C56" s="13" t="n">
        <v>50000</v>
      </c>
      <c r="D56" s="13" t="n">
        <v>333.3333333333333</v>
      </c>
      <c r="E56" s="13" t="n"/>
      <c r="F56" s="13" t="n">
        <v>50000</v>
      </c>
    </row>
    <row r="57">
      <c r="A57" s="4" t="n">
        <v>76</v>
      </c>
      <c r="B57" s="13" t="n"/>
      <c r="C57" s="13" t="n">
        <v>50000</v>
      </c>
      <c r="D57" s="13" t="n">
        <v>333.3333333333333</v>
      </c>
      <c r="E57" s="13" t="n"/>
      <c r="F57" s="13" t="n">
        <v>50000</v>
      </c>
    </row>
    <row r="58">
      <c r="A58" s="4" t="n">
        <v>77</v>
      </c>
      <c r="B58" s="13" t="n"/>
      <c r="C58" s="13" t="n">
        <v>50000</v>
      </c>
      <c r="D58" s="13" t="n">
        <v>333.3333333333333</v>
      </c>
      <c r="E58" s="13" t="n"/>
      <c r="F58" s="13" t="n">
        <v>50000</v>
      </c>
    </row>
    <row r="59">
      <c r="A59" s="4" t="n">
        <v>78</v>
      </c>
      <c r="B59" s="13" t="n"/>
      <c r="C59" s="13" t="n">
        <v>50000</v>
      </c>
      <c r="D59" s="13" t="n">
        <v>333.3333333333333</v>
      </c>
      <c r="E59" s="13" t="n"/>
      <c r="F59" s="13" t="n">
        <v>50000</v>
      </c>
    </row>
    <row r="60">
      <c r="A60" s="4" t="n">
        <v>79</v>
      </c>
      <c r="B60" s="13" t="n"/>
      <c r="C60" s="13" t="n">
        <v>50000</v>
      </c>
      <c r="D60" s="13" t="n">
        <v>333.3333333333333</v>
      </c>
      <c r="E60" s="13" t="n"/>
      <c r="F60" s="13" t="n">
        <v>50000</v>
      </c>
    </row>
    <row r="61">
      <c r="A61" s="4" t="n">
        <v>80</v>
      </c>
      <c r="B61" s="13" t="n"/>
      <c r="C61" s="13" t="n">
        <v>50000</v>
      </c>
      <c r="D61" s="13" t="n">
        <v>333.3333333333333</v>
      </c>
      <c r="E61" s="13" t="n"/>
      <c r="F61" s="13" t="n">
        <v>50000</v>
      </c>
    </row>
    <row r="62">
      <c r="A62" s="4" t="n">
        <v>81</v>
      </c>
      <c r="B62" s="13" t="n"/>
      <c r="C62" s="13" t="n">
        <v>50000</v>
      </c>
      <c r="D62" s="13" t="n">
        <v>333.3333333333333</v>
      </c>
      <c r="E62" s="13" t="n"/>
      <c r="F62" s="13" t="n">
        <v>50000</v>
      </c>
    </row>
    <row r="63">
      <c r="A63" s="4" t="n">
        <v>82</v>
      </c>
      <c r="B63" s="13" t="n"/>
      <c r="C63" s="13" t="n">
        <v>50000</v>
      </c>
      <c r="D63" s="13" t="n">
        <v>333.3333333333333</v>
      </c>
      <c r="E63" s="13" t="n"/>
      <c r="F63" s="13" t="n">
        <v>50000</v>
      </c>
    </row>
    <row r="64">
      <c r="A64" s="4" t="n">
        <v>83</v>
      </c>
      <c r="B64" s="13" t="n"/>
      <c r="C64" s="13" t="n">
        <v>50000</v>
      </c>
      <c r="D64" s="13" t="n">
        <v>333.3333333333333</v>
      </c>
      <c r="E64" s="13" t="n"/>
      <c r="F64" s="13" t="n">
        <v>50000</v>
      </c>
    </row>
    <row r="65">
      <c r="A65" s="4" t="n">
        <v>84</v>
      </c>
      <c r="B65" s="13" t="n"/>
      <c r="C65" s="13" t="n">
        <v>50000</v>
      </c>
      <c r="D65" s="13" t="n">
        <v>333.3333333333333</v>
      </c>
      <c r="E65" s="13" t="n"/>
      <c r="F65" s="13" t="n">
        <v>50000</v>
      </c>
      <c r="G65" s="10" t="inlineStr">
        <is>
          <t>Jahr 5</t>
        </is>
      </c>
    </row>
    <row r="66">
      <c r="A66" s="4" t="n">
        <v>85</v>
      </c>
      <c r="B66" s="13" t="n"/>
      <c r="C66" s="13" t="n">
        <v>50000</v>
      </c>
      <c r="D66" s="13" t="n">
        <v>333.3333333333333</v>
      </c>
      <c r="E66" s="13" t="n"/>
      <c r="F66" s="13" t="n">
        <v>50000</v>
      </c>
    </row>
    <row r="67">
      <c r="A67" s="4" t="n">
        <v>86</v>
      </c>
      <c r="B67" s="13" t="n"/>
      <c r="C67" s="13" t="n">
        <v>50000</v>
      </c>
      <c r="D67" s="13" t="n">
        <v>333.3333333333333</v>
      </c>
      <c r="E67" s="13" t="n"/>
      <c r="F67" s="13" t="n">
        <v>50000</v>
      </c>
    </row>
    <row r="68">
      <c r="A68" s="4" t="n">
        <v>87</v>
      </c>
      <c r="B68" s="13" t="n"/>
      <c r="C68" s="13" t="n">
        <v>50000</v>
      </c>
      <c r="D68" s="13" t="n">
        <v>333.3333333333333</v>
      </c>
      <c r="E68" s="13" t="n"/>
      <c r="F68" s="13" t="n">
        <v>50000</v>
      </c>
    </row>
    <row r="69">
      <c r="A69" s="4" t="n">
        <v>88</v>
      </c>
      <c r="B69" s="13" t="n"/>
      <c r="C69" s="13" t="n">
        <v>50000</v>
      </c>
      <c r="D69" s="13" t="n">
        <v>333.3333333333333</v>
      </c>
      <c r="E69" s="13" t="n"/>
      <c r="F69" s="13" t="n">
        <v>50000</v>
      </c>
    </row>
    <row r="70">
      <c r="A70" s="4" t="n">
        <v>89</v>
      </c>
      <c r="B70" s="13" t="n"/>
      <c r="C70" s="13" t="n">
        <v>50000</v>
      </c>
      <c r="D70" s="13" t="n">
        <v>333.3333333333333</v>
      </c>
      <c r="E70" s="13" t="n"/>
      <c r="F70" s="13" t="n">
        <v>50000</v>
      </c>
    </row>
    <row r="71">
      <c r="A71" s="4" t="n">
        <v>90</v>
      </c>
      <c r="B71" s="13" t="n"/>
      <c r="C71" s="13" t="n">
        <v>50000</v>
      </c>
      <c r="D71" s="13" t="n">
        <v>333.3333333333333</v>
      </c>
      <c r="E71" s="13" t="n"/>
      <c r="F71" s="13" t="n">
        <v>50000</v>
      </c>
    </row>
    <row r="72">
      <c r="A72" s="4" t="n">
        <v>91</v>
      </c>
      <c r="B72" s="13" t="n"/>
      <c r="C72" s="13" t="n">
        <v>50000</v>
      </c>
      <c r="D72" s="13" t="n">
        <v>333.3333333333333</v>
      </c>
      <c r="E72" s="13" t="n"/>
      <c r="F72" s="13" t="n">
        <v>50000</v>
      </c>
    </row>
    <row r="73">
      <c r="A73" s="4" t="n">
        <v>92</v>
      </c>
      <c r="B73" s="13" t="n"/>
      <c r="C73" s="13" t="n">
        <v>50000</v>
      </c>
      <c r="D73" s="13" t="n">
        <v>333.3333333333333</v>
      </c>
      <c r="E73" s="13" t="n"/>
      <c r="F73" s="13" t="n">
        <v>50000</v>
      </c>
    </row>
    <row r="74">
      <c r="A74" s="4" t="n">
        <v>93</v>
      </c>
      <c r="B74" s="13" t="n"/>
      <c r="C74" s="13" t="n">
        <v>50000</v>
      </c>
      <c r="D74" s="13" t="n">
        <v>333.3333333333333</v>
      </c>
      <c r="E74" s="13" t="n"/>
      <c r="F74" s="13" t="n">
        <v>50000</v>
      </c>
    </row>
    <row r="75">
      <c r="A75" s="4" t="n">
        <v>94</v>
      </c>
      <c r="B75" s="13" t="n"/>
      <c r="C75" s="13" t="n">
        <v>50000</v>
      </c>
      <c r="D75" s="13" t="n">
        <v>333.3333333333333</v>
      </c>
      <c r="E75" s="13" t="n"/>
      <c r="F75" s="13" t="n">
        <v>50000</v>
      </c>
    </row>
    <row r="76">
      <c r="A76" s="4" t="n">
        <v>95</v>
      </c>
      <c r="B76" s="13" t="n"/>
      <c r="C76" s="13" t="n">
        <v>50000</v>
      </c>
      <c r="D76" s="13" t="n">
        <v>333.3333333333333</v>
      </c>
      <c r="E76" s="13" t="n"/>
      <c r="F76" s="13" t="n">
        <v>50000</v>
      </c>
    </row>
    <row r="77">
      <c r="A77" s="4" t="n">
        <v>96</v>
      </c>
      <c r="B77" s="13" t="n"/>
      <c r="C77" s="13" t="n">
        <v>50000</v>
      </c>
      <c r="D77" s="13" t="n">
        <v>333.3333333333333</v>
      </c>
      <c r="E77" s="13" t="n"/>
      <c r="F77" s="13" t="n">
        <v>50000</v>
      </c>
      <c r="G77" s="10" t="inlineStr">
        <is>
          <t>Jahr 6</t>
        </is>
      </c>
    </row>
    <row r="78">
      <c r="A78" s="4" t="n">
        <v>97</v>
      </c>
      <c r="B78" s="13" t="n"/>
      <c r="C78" s="13" t="n">
        <v>50000</v>
      </c>
      <c r="D78" s="13" t="n">
        <v>333.3333333333333</v>
      </c>
      <c r="E78" s="13" t="n"/>
      <c r="F78" s="13" t="n">
        <v>50000</v>
      </c>
    </row>
    <row r="79">
      <c r="A79" s="4" t="n">
        <v>98</v>
      </c>
      <c r="B79" s="13" t="n"/>
      <c r="C79" s="13" t="n">
        <v>50000</v>
      </c>
      <c r="D79" s="13" t="n">
        <v>333.3333333333333</v>
      </c>
      <c r="E79" s="13" t="n"/>
      <c r="F79" s="13" t="n">
        <v>50000</v>
      </c>
    </row>
    <row r="80">
      <c r="A80" s="4" t="n">
        <v>99</v>
      </c>
      <c r="B80" s="13" t="n"/>
      <c r="C80" s="13" t="n">
        <v>50000</v>
      </c>
      <c r="D80" s="13" t="n">
        <v>333.3333333333333</v>
      </c>
      <c r="E80" s="13" t="n"/>
      <c r="F80" s="13" t="n">
        <v>50000</v>
      </c>
    </row>
    <row r="81">
      <c r="A81" s="4" t="n">
        <v>100</v>
      </c>
      <c r="B81" s="13" t="n"/>
      <c r="C81" s="13" t="n">
        <v>50000</v>
      </c>
      <c r="D81" s="13" t="n">
        <v>333.3333333333333</v>
      </c>
      <c r="E81" s="13" t="n"/>
      <c r="F81" s="13" t="n">
        <v>50000</v>
      </c>
    </row>
    <row r="82">
      <c r="A82" s="4" t="n">
        <v>101</v>
      </c>
      <c r="B82" s="13" t="n"/>
      <c r="C82" s="13" t="n">
        <v>50000</v>
      </c>
      <c r="D82" s="13" t="n">
        <v>333.3333333333333</v>
      </c>
      <c r="E82" s="13" t="n"/>
      <c r="F82" s="13" t="n">
        <v>50000</v>
      </c>
    </row>
    <row r="83">
      <c r="A83" s="4" t="n">
        <v>102</v>
      </c>
      <c r="B83" s="13" t="n"/>
      <c r="C83" s="13" t="n">
        <v>50000</v>
      </c>
      <c r="D83" s="13" t="n">
        <v>333.3333333333333</v>
      </c>
      <c r="E83" s="13" t="n"/>
      <c r="F83" s="13" t="n">
        <v>50000</v>
      </c>
    </row>
    <row r="84">
      <c r="A84" s="4" t="n">
        <v>103</v>
      </c>
      <c r="B84" s="13" t="n"/>
      <c r="C84" s="13" t="n">
        <v>50000</v>
      </c>
      <c r="D84" s="13" t="n">
        <v>333.3333333333333</v>
      </c>
      <c r="E84" s="13" t="n"/>
      <c r="F84" s="13" t="n">
        <v>50000</v>
      </c>
    </row>
    <row r="85">
      <c r="A85" s="4" t="n">
        <v>104</v>
      </c>
      <c r="B85" s="13" t="n"/>
      <c r="C85" s="13" t="n">
        <v>50000</v>
      </c>
      <c r="D85" s="13" t="n">
        <v>333.3333333333333</v>
      </c>
      <c r="E85" s="13" t="n"/>
      <c r="F85" s="13" t="n">
        <v>50000</v>
      </c>
    </row>
    <row r="86">
      <c r="A86" s="4" t="n">
        <v>105</v>
      </c>
      <c r="B86" s="13" t="n"/>
      <c r="C86" s="13" t="n">
        <v>50000</v>
      </c>
      <c r="D86" s="13" t="n">
        <v>333.3333333333333</v>
      </c>
      <c r="E86" s="13" t="n"/>
      <c r="F86" s="13" t="n">
        <v>50000</v>
      </c>
    </row>
    <row r="87">
      <c r="A87" s="4" t="n">
        <v>106</v>
      </c>
      <c r="B87" s="13" t="n"/>
      <c r="C87" s="13" t="n">
        <v>50000</v>
      </c>
      <c r="D87" s="13" t="n">
        <v>333.3333333333333</v>
      </c>
      <c r="E87" s="13" t="n"/>
      <c r="F87" s="13" t="n">
        <v>50000</v>
      </c>
    </row>
    <row r="88">
      <c r="A88" s="4" t="n">
        <v>107</v>
      </c>
      <c r="B88" s="13" t="n"/>
      <c r="C88" s="13" t="n">
        <v>50000</v>
      </c>
      <c r="D88" s="13" t="n">
        <v>333.3333333333333</v>
      </c>
      <c r="E88" s="13" t="n"/>
      <c r="F88" s="13" t="n">
        <v>50000</v>
      </c>
    </row>
    <row r="89">
      <c r="A89" s="4" t="n">
        <v>108</v>
      </c>
      <c r="B89" s="13" t="n"/>
      <c r="C89" s="13" t="n">
        <v>50000</v>
      </c>
      <c r="D89" s="13" t="n">
        <v>333.3333333333333</v>
      </c>
      <c r="E89" s="13" t="n"/>
      <c r="F89" s="13" t="n">
        <v>50000</v>
      </c>
      <c r="G89" s="10" t="inlineStr">
        <is>
          <t>Jahr 7</t>
        </is>
      </c>
    </row>
    <row r="90">
      <c r="A90" s="4" t="n">
        <v>109</v>
      </c>
      <c r="B90" s="13" t="n"/>
      <c r="C90" s="13" t="n">
        <v>50000</v>
      </c>
      <c r="D90" s="13" t="n">
        <v>333.3333333333333</v>
      </c>
      <c r="E90" s="13" t="n"/>
      <c r="F90" s="13" t="n">
        <v>50000</v>
      </c>
    </row>
    <row r="91">
      <c r="A91" s="4" t="n">
        <v>110</v>
      </c>
      <c r="B91" s="13" t="n"/>
      <c r="C91" s="13" t="n">
        <v>50000</v>
      </c>
      <c r="D91" s="13" t="n">
        <v>333.3333333333333</v>
      </c>
      <c r="E91" s="13" t="n"/>
      <c r="F91" s="13" t="n">
        <v>50000</v>
      </c>
    </row>
    <row r="92">
      <c r="A92" s="4" t="n">
        <v>111</v>
      </c>
      <c r="B92" s="13" t="n"/>
      <c r="C92" s="13" t="n">
        <v>50000</v>
      </c>
      <c r="D92" s="13" t="n">
        <v>333.3333333333333</v>
      </c>
      <c r="E92" s="13" t="n"/>
      <c r="F92" s="13" t="n">
        <v>50000</v>
      </c>
    </row>
    <row r="93">
      <c r="A93" s="4" t="n">
        <v>112</v>
      </c>
      <c r="B93" s="13" t="n"/>
      <c r="C93" s="13" t="n">
        <v>50000</v>
      </c>
      <c r="D93" s="13" t="n">
        <v>333.3333333333333</v>
      </c>
      <c r="E93" s="13" t="n"/>
      <c r="F93" s="13" t="n">
        <v>50000</v>
      </c>
    </row>
    <row r="94">
      <c r="A94" s="4" t="n">
        <v>113</v>
      </c>
      <c r="B94" s="13" t="n"/>
      <c r="C94" s="13" t="n">
        <v>50000</v>
      </c>
      <c r="D94" s="13" t="n">
        <v>333.3333333333333</v>
      </c>
      <c r="E94" s="13" t="n"/>
      <c r="F94" s="13" t="n">
        <v>50000</v>
      </c>
    </row>
    <row r="95">
      <c r="A95" s="4" t="n">
        <v>114</v>
      </c>
      <c r="B95" s="13" t="n"/>
      <c r="C95" s="13" t="n">
        <v>50000</v>
      </c>
      <c r="D95" s="13" t="n">
        <v>333.3333333333333</v>
      </c>
      <c r="E95" s="13" t="n"/>
      <c r="F95" s="13" t="n">
        <v>50000</v>
      </c>
    </row>
    <row r="96">
      <c r="A96" s="4" t="n">
        <v>115</v>
      </c>
      <c r="B96" s="13" t="n"/>
      <c r="C96" s="13" t="n">
        <v>50000</v>
      </c>
      <c r="D96" s="13" t="n">
        <v>333.3333333333333</v>
      </c>
      <c r="E96" s="13" t="n"/>
      <c r="F96" s="13" t="n">
        <v>50000</v>
      </c>
    </row>
    <row r="97">
      <c r="A97" s="4" t="n">
        <v>116</v>
      </c>
      <c r="B97" s="13" t="n"/>
      <c r="C97" s="13" t="n">
        <v>50000</v>
      </c>
      <c r="D97" s="13" t="n">
        <v>333.3333333333333</v>
      </c>
      <c r="E97" s="13" t="n"/>
      <c r="F97" s="13" t="n">
        <v>50000</v>
      </c>
    </row>
    <row r="98">
      <c r="A98" s="4" t="n">
        <v>117</v>
      </c>
      <c r="B98" s="13" t="n"/>
      <c r="C98" s="13" t="n">
        <v>50000</v>
      </c>
      <c r="D98" s="13" t="n">
        <v>333.3333333333333</v>
      </c>
      <c r="E98" s="13" t="n"/>
      <c r="F98" s="13" t="n">
        <v>50000</v>
      </c>
    </row>
    <row r="99">
      <c r="A99" s="4" t="n">
        <v>118</v>
      </c>
      <c r="B99" s="13" t="n"/>
      <c r="C99" s="13" t="n">
        <v>50000</v>
      </c>
      <c r="D99" s="13" t="n">
        <v>333.3333333333333</v>
      </c>
      <c r="E99" s="13" t="n"/>
      <c r="F99" s="13" t="n">
        <v>50000</v>
      </c>
    </row>
    <row r="100">
      <c r="A100" s="4" t="n">
        <v>119</v>
      </c>
      <c r="B100" s="13" t="n"/>
      <c r="C100" s="13" t="n">
        <v>50000</v>
      </c>
      <c r="D100" s="13" t="n">
        <v>333.3333333333333</v>
      </c>
      <c r="E100" s="13" t="n"/>
      <c r="F100" s="13" t="n">
        <v>50000</v>
      </c>
    </row>
    <row r="101">
      <c r="A101" s="4" t="n">
        <v>120</v>
      </c>
      <c r="B101" s="13" t="n"/>
      <c r="C101" s="13" t="n">
        <v>50000</v>
      </c>
      <c r="D101" s="13" t="n">
        <v>333.3333333333333</v>
      </c>
      <c r="E101" s="13" t="n"/>
      <c r="F101" s="13" t="n">
        <v>50000</v>
      </c>
      <c r="G101" s="10" t="inlineStr">
        <is>
          <t>Jahr 8</t>
        </is>
      </c>
    </row>
    <row r="102">
      <c r="A102" s="4" t="n">
        <v>121</v>
      </c>
      <c r="B102" s="13" t="n"/>
      <c r="C102" s="13" t="n">
        <v>50000</v>
      </c>
      <c r="D102" s="13" t="n">
        <v>333.3333333333333</v>
      </c>
      <c r="E102" s="13" t="n"/>
      <c r="F102" s="13" t="n">
        <v>50000</v>
      </c>
    </row>
    <row r="103">
      <c r="A103" s="4" t="n">
        <v>122</v>
      </c>
      <c r="B103" s="13" t="n"/>
      <c r="C103" s="13" t="n">
        <v>50000</v>
      </c>
      <c r="D103" s="13" t="n">
        <v>333.3333333333333</v>
      </c>
      <c r="E103" s="13" t="n"/>
      <c r="F103" s="13" t="n">
        <v>50000</v>
      </c>
    </row>
    <row r="104">
      <c r="A104" s="4" t="n">
        <v>123</v>
      </c>
      <c r="B104" s="13" t="n"/>
      <c r="C104" s="13" t="n">
        <v>50000</v>
      </c>
      <c r="D104" s="13" t="n">
        <v>333.3333333333333</v>
      </c>
      <c r="E104" s="13" t="n"/>
      <c r="F104" s="13" t="n">
        <v>50000</v>
      </c>
    </row>
    <row r="105">
      <c r="A105" s="4" t="n">
        <v>124</v>
      </c>
      <c r="B105" s="13" t="n"/>
      <c r="C105" s="13" t="n">
        <v>50000</v>
      </c>
      <c r="D105" s="13" t="n">
        <v>333.3333333333333</v>
      </c>
      <c r="E105" s="13" t="n"/>
      <c r="F105" s="13" t="n">
        <v>50000</v>
      </c>
    </row>
    <row r="106">
      <c r="A106" s="4" t="n">
        <v>125</v>
      </c>
      <c r="B106" s="13" t="n"/>
      <c r="C106" s="13" t="n">
        <v>50000</v>
      </c>
      <c r="D106" s="13" t="n">
        <v>333.3333333333333</v>
      </c>
      <c r="E106" s="13" t="n"/>
      <c r="F106" s="13" t="n">
        <v>50000</v>
      </c>
    </row>
    <row r="107">
      <c r="A107" s="4" t="n">
        <v>126</v>
      </c>
      <c r="B107" s="13" t="n"/>
      <c r="C107" s="13" t="n">
        <v>50000</v>
      </c>
      <c r="D107" s="13" t="n">
        <v>333.3333333333333</v>
      </c>
      <c r="E107" s="13" t="n"/>
      <c r="F107" s="13" t="n">
        <v>50000</v>
      </c>
    </row>
    <row r="108">
      <c r="A108" s="4" t="n">
        <v>127</v>
      </c>
      <c r="B108" s="13" t="n"/>
      <c r="C108" s="13" t="n">
        <v>50000</v>
      </c>
      <c r="D108" s="13" t="n">
        <v>333.3333333333333</v>
      </c>
      <c r="E108" s="13" t="n"/>
      <c r="F108" s="13" t="n">
        <v>50000</v>
      </c>
    </row>
    <row r="109">
      <c r="A109" s="4" t="n">
        <v>128</v>
      </c>
      <c r="B109" s="13" t="n"/>
      <c r="C109" s="13" t="n">
        <v>50000</v>
      </c>
      <c r="D109" s="13" t="n">
        <v>333.3333333333333</v>
      </c>
      <c r="E109" s="13" t="n"/>
      <c r="F109" s="13" t="n">
        <v>50000</v>
      </c>
    </row>
    <row r="110">
      <c r="A110" s="4" t="n">
        <v>129</v>
      </c>
      <c r="B110" s="13" t="n"/>
      <c r="C110" s="13" t="n">
        <v>50000</v>
      </c>
      <c r="D110" s="13" t="n">
        <v>333.3333333333333</v>
      </c>
      <c r="E110" s="13" t="n"/>
      <c r="F110" s="13" t="n">
        <v>50000</v>
      </c>
    </row>
    <row r="111">
      <c r="A111" s="4" t="n">
        <v>130</v>
      </c>
      <c r="B111" s="13" t="n"/>
      <c r="C111" s="13" t="n">
        <v>50000</v>
      </c>
      <c r="D111" s="13" t="n">
        <v>333.3333333333333</v>
      </c>
      <c r="E111" s="13" t="n"/>
      <c r="F111" s="13" t="n">
        <v>50000</v>
      </c>
    </row>
    <row r="112">
      <c r="A112" s="4" t="n">
        <v>131</v>
      </c>
      <c r="B112" s="13" t="n"/>
      <c r="C112" s="13" t="n">
        <v>50000</v>
      </c>
      <c r="D112" s="13" t="n">
        <v>333.3333333333333</v>
      </c>
      <c r="E112" s="13" t="n"/>
      <c r="F112" s="13" t="n">
        <v>50000</v>
      </c>
    </row>
    <row r="113">
      <c r="A113" s="4" t="n">
        <v>132</v>
      </c>
      <c r="B113" s="13" t="n"/>
      <c r="C113" s="13" t="n">
        <v>50000</v>
      </c>
      <c r="D113" s="13" t="n">
        <v>333.3333333333333</v>
      </c>
      <c r="E113" s="13" t="n"/>
      <c r="F113" s="13" t="n">
        <v>50000</v>
      </c>
      <c r="G113" s="10" t="inlineStr">
        <is>
          <t>Jahr 9</t>
        </is>
      </c>
    </row>
    <row r="114">
      <c r="A114" s="4" t="n">
        <v>133</v>
      </c>
      <c r="B114" s="13" t="n"/>
      <c r="C114" s="13" t="n">
        <v>50000</v>
      </c>
      <c r="D114" s="13" t="n">
        <v>333.3333333333333</v>
      </c>
      <c r="E114" s="13" t="n"/>
      <c r="F114" s="13" t="n">
        <v>50000</v>
      </c>
    </row>
    <row r="115">
      <c r="A115" s="4" t="n">
        <v>134</v>
      </c>
      <c r="B115" s="13" t="n"/>
      <c r="C115" s="13" t="n">
        <v>50000</v>
      </c>
      <c r="D115" s="13" t="n">
        <v>333.3333333333333</v>
      </c>
      <c r="E115" s="13" t="n"/>
      <c r="F115" s="13" t="n">
        <v>50000</v>
      </c>
    </row>
    <row r="116">
      <c r="A116" s="4" t="n">
        <v>135</v>
      </c>
      <c r="B116" s="13" t="n"/>
      <c r="C116" s="13" t="n">
        <v>50000</v>
      </c>
      <c r="D116" s="13" t="n">
        <v>333.3333333333333</v>
      </c>
      <c r="E116" s="13" t="n"/>
      <c r="F116" s="13" t="n">
        <v>50000</v>
      </c>
    </row>
    <row r="117">
      <c r="A117" s="4" t="n">
        <v>136</v>
      </c>
      <c r="B117" s="13" t="n"/>
      <c r="C117" s="13" t="n">
        <v>50000</v>
      </c>
      <c r="D117" s="13" t="n">
        <v>333.3333333333333</v>
      </c>
      <c r="E117" s="13" t="n"/>
      <c r="F117" s="13" t="n">
        <v>50000</v>
      </c>
    </row>
    <row r="118">
      <c r="A118" s="4" t="n">
        <v>137</v>
      </c>
      <c r="B118" s="13" t="n"/>
      <c r="C118" s="13" t="n">
        <v>50000</v>
      </c>
      <c r="D118" s="13" t="n">
        <v>333.3333333333333</v>
      </c>
      <c r="E118" s="13" t="n"/>
      <c r="F118" s="13" t="n">
        <v>50000</v>
      </c>
    </row>
    <row r="119">
      <c r="A119" s="4" t="n">
        <v>138</v>
      </c>
      <c r="B119" s="13" t="n"/>
      <c r="C119" s="13" t="n">
        <v>50000</v>
      </c>
      <c r="D119" s="13" t="n">
        <v>333.3333333333333</v>
      </c>
      <c r="E119" s="13" t="n"/>
      <c r="F119" s="13" t="n">
        <v>50000</v>
      </c>
    </row>
    <row r="120">
      <c r="A120" s="4" t="n">
        <v>139</v>
      </c>
      <c r="B120" s="13" t="n"/>
      <c r="C120" s="13" t="n">
        <v>50000</v>
      </c>
      <c r="D120" s="13" t="n">
        <v>333.3333333333333</v>
      </c>
      <c r="E120" s="13" t="n"/>
      <c r="F120" s="13" t="n">
        <v>50000</v>
      </c>
    </row>
    <row r="121">
      <c r="A121" s="4" t="n">
        <v>140</v>
      </c>
      <c r="B121" s="13" t="n"/>
      <c r="C121" s="13" t="n">
        <v>50000</v>
      </c>
      <c r="D121" s="13" t="n">
        <v>333.3333333333333</v>
      </c>
      <c r="E121" s="13" t="n"/>
      <c r="F121" s="13" t="n">
        <v>50000</v>
      </c>
    </row>
    <row r="122">
      <c r="A122" s="4" t="n">
        <v>141</v>
      </c>
      <c r="B122" s="13" t="n"/>
      <c r="C122" s="13" t="n">
        <v>50000</v>
      </c>
      <c r="D122" s="13" t="n">
        <v>333.3333333333333</v>
      </c>
      <c r="E122" s="13" t="n"/>
      <c r="F122" s="13" t="n">
        <v>50000</v>
      </c>
    </row>
    <row r="123">
      <c r="A123" s="4" t="n">
        <v>142</v>
      </c>
      <c r="B123" s="13" t="n"/>
      <c r="C123" s="13" t="n">
        <v>50000</v>
      </c>
      <c r="D123" s="13" t="n">
        <v>333.3333333333333</v>
      </c>
      <c r="E123" s="13" t="n"/>
      <c r="F123" s="13" t="n">
        <v>50000</v>
      </c>
    </row>
    <row r="124">
      <c r="A124" s="4" t="n">
        <v>143</v>
      </c>
      <c r="B124" s="13" t="n"/>
      <c r="C124" s="13" t="n">
        <v>50000</v>
      </c>
      <c r="D124" s="13" t="n">
        <v>333.3333333333333</v>
      </c>
      <c r="E124" s="13" t="n"/>
      <c r="F124" s="13" t="n">
        <v>50000</v>
      </c>
    </row>
    <row r="125">
      <c r="A125" s="4" t="n">
        <v>144</v>
      </c>
      <c r="B125" s="13" t="n"/>
      <c r="C125" s="13" t="n">
        <v>50000</v>
      </c>
      <c r="D125" s="13" t="n">
        <v>333.3333333333333</v>
      </c>
      <c r="E125" s="8" t="n">
        <v>50000</v>
      </c>
      <c r="F125" s="13" t="n">
        <v>0</v>
      </c>
      <c r="G125" s="10" t="inlineStr">
        <is>
          <t>Jahr 10</t>
        </is>
      </c>
    </row>
    <row r="126">
      <c r="A126" s="4" t="n">
        <v>145</v>
      </c>
      <c r="B126" s="13" t="n"/>
      <c r="C126" s="13" t="n">
        <v>0</v>
      </c>
      <c r="D126" s="13" t="n"/>
      <c r="E126" s="13" t="n"/>
      <c r="F126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4" t="inlineStr">
        <is>
          <t>Liquiditätsplan (Cashflow)</t>
        </is>
      </c>
    </row>
    <row r="2">
      <c r="A2" s="3" t="inlineStr">
        <is>
          <t>Posten</t>
        </is>
      </c>
      <c r="B2" s="12" t="inlineStr">
        <is>
          <t>Monat 1</t>
        </is>
      </c>
      <c r="C2" s="12" t="inlineStr">
        <is>
          <t>Monat 2</t>
        </is>
      </c>
      <c r="D2" s="12" t="inlineStr">
        <is>
          <t>Monat 3</t>
        </is>
      </c>
      <c r="E2" s="12" t="inlineStr">
        <is>
          <t>Monat 4</t>
        </is>
      </c>
      <c r="F2" s="12" t="inlineStr">
        <is>
          <t>Monat 5</t>
        </is>
      </c>
      <c r="G2" s="12" t="inlineStr">
        <is>
          <t>Monat 6</t>
        </is>
      </c>
      <c r="H2" s="12" t="inlineStr">
        <is>
          <t>Monat 7</t>
        </is>
      </c>
      <c r="I2" s="12" t="inlineStr">
        <is>
          <t>Monat 8</t>
        </is>
      </c>
      <c r="J2" s="12" t="inlineStr">
        <is>
          <t>Monat 9</t>
        </is>
      </c>
      <c r="K2" s="12" t="inlineStr">
        <is>
          <t>Monat 10</t>
        </is>
      </c>
      <c r="L2" s="12" t="inlineStr">
        <is>
          <t>Monat 11</t>
        </is>
      </c>
      <c r="M2" s="12" t="inlineStr">
        <is>
          <t>Monat 12</t>
        </is>
      </c>
      <c r="N2" s="12" t="inlineStr">
        <is>
          <t>Jahr 2</t>
        </is>
      </c>
      <c r="O2" s="12" t="inlineStr">
        <is>
          <t>Jahr 3</t>
        </is>
      </c>
      <c r="P2" s="12" t="inlineStr">
        <is>
          <t>Jahr 4</t>
        </is>
      </c>
      <c r="Q2" s="12" t="inlineStr">
        <is>
          <t>Jahr 5</t>
        </is>
      </c>
      <c r="R2" s="12" t="inlineStr">
        <is>
          <t>Jahr 6</t>
        </is>
      </c>
      <c r="S2" s="12" t="inlineStr">
        <is>
          <t>Jahr 7</t>
        </is>
      </c>
      <c r="T2" s="12" t="inlineStr">
        <is>
          <t>Jahr 8</t>
        </is>
      </c>
      <c r="U2" s="12" t="inlineStr">
        <is>
          <t>Jahr 9</t>
        </is>
      </c>
      <c r="V2" s="12" t="inlineStr">
        <is>
          <t>Jahr 10</t>
        </is>
      </c>
      <c r="W2" s="12" t="inlineStr">
        <is>
          <t>Summe 10J</t>
        </is>
      </c>
    </row>
    <row r="3">
      <c r="A3" s="15" t="inlineStr">
        <is>
          <t>EINNAHMEN</t>
        </is>
      </c>
    </row>
    <row r="4">
      <c r="A4" s="4" t="inlineStr">
        <is>
          <t>Premium-Abos</t>
        </is>
      </c>
      <c r="B4" s="5" t="n">
        <v>39.92</v>
      </c>
      <c r="C4" s="5" t="n">
        <v>84.83</v>
      </c>
      <c r="D4" s="5" t="n">
        <v>124.75</v>
      </c>
      <c r="E4" s="5" t="n">
        <v>164.67</v>
      </c>
      <c r="F4" s="5" t="n">
        <v>209.58</v>
      </c>
      <c r="G4" s="5" t="n">
        <v>249.5</v>
      </c>
      <c r="H4" s="5" t="n">
        <v>289.42</v>
      </c>
      <c r="I4" s="5" t="n">
        <v>334.33</v>
      </c>
      <c r="J4" s="5" t="n">
        <v>374.25</v>
      </c>
      <c r="K4" s="5" t="n">
        <v>414.17</v>
      </c>
      <c r="L4" s="5" t="n">
        <v>459.08</v>
      </c>
      <c r="M4" s="5" t="n">
        <v>499</v>
      </c>
      <c r="N4" s="5" t="n">
        <v>17964</v>
      </c>
      <c r="O4" s="5" t="n">
        <v>59880</v>
      </c>
      <c r="P4" s="5" t="n">
        <v>101796</v>
      </c>
      <c r="Q4" s="5" t="n">
        <v>101796</v>
      </c>
      <c r="R4" s="5" t="n">
        <v>101796</v>
      </c>
      <c r="S4" s="5" t="n">
        <v>101796</v>
      </c>
      <c r="T4" s="5" t="n">
        <v>101796</v>
      </c>
      <c r="U4" s="5" t="n">
        <v>101796</v>
      </c>
      <c r="V4" s="5" t="n">
        <v>101796</v>
      </c>
      <c r="W4" s="16">
        <f>SUM(B4:V4)</f>
        <v/>
      </c>
    </row>
    <row r="5">
      <c r="A5" s="4" t="inlineStr">
        <is>
          <t>Pro-Accounts</t>
        </is>
      </c>
      <c r="B5" s="5" t="n"/>
      <c r="C5" s="5" t="n"/>
      <c r="D5" s="5" t="n">
        <v>14.99</v>
      </c>
      <c r="E5" s="5" t="n">
        <v>14.99</v>
      </c>
      <c r="F5" s="5" t="n">
        <v>14.99</v>
      </c>
      <c r="G5" s="5" t="n">
        <v>29.98</v>
      </c>
      <c r="H5" s="5" t="n">
        <v>29.98</v>
      </c>
      <c r="I5" s="5" t="n">
        <v>29.98</v>
      </c>
      <c r="J5" s="5" t="n">
        <v>29.98</v>
      </c>
      <c r="K5" s="5" t="n">
        <v>29.98</v>
      </c>
      <c r="L5" s="5" t="n">
        <v>44.97</v>
      </c>
      <c r="M5" s="5" t="n">
        <v>44.97</v>
      </c>
      <c r="N5" s="5" t="n">
        <v>899.4</v>
      </c>
      <c r="O5" s="5" t="n">
        <v>3597.6</v>
      </c>
      <c r="P5" s="5" t="n">
        <v>5396.4</v>
      </c>
      <c r="Q5" s="5" t="n">
        <v>5396.4</v>
      </c>
      <c r="R5" s="5" t="n">
        <v>5396.4</v>
      </c>
      <c r="S5" s="5" t="n">
        <v>5396.4</v>
      </c>
      <c r="T5" s="5" t="n">
        <v>5396.4</v>
      </c>
      <c r="U5" s="5" t="n">
        <v>5396.4</v>
      </c>
      <c r="V5" s="5" t="n">
        <v>5396.4</v>
      </c>
      <c r="W5" s="16">
        <f>SUM(B5:V5)</f>
        <v/>
      </c>
    </row>
    <row r="6">
      <c r="A6" s="4" t="inlineStr">
        <is>
          <t>Kaffeekassen</t>
        </is>
      </c>
      <c r="B6" s="5" t="n"/>
      <c r="C6" s="5" t="n">
        <v>1</v>
      </c>
      <c r="D6" s="5" t="n">
        <v>1</v>
      </c>
      <c r="E6" s="5" t="n">
        <v>2</v>
      </c>
      <c r="F6" s="5" t="n">
        <v>2</v>
      </c>
      <c r="G6" s="5" t="n">
        <v>2</v>
      </c>
      <c r="H6" s="5" t="n">
        <v>3</v>
      </c>
      <c r="I6" s="5" t="n">
        <v>3</v>
      </c>
      <c r="J6" s="5" t="n">
        <v>4</v>
      </c>
      <c r="K6" s="5" t="n">
        <v>4</v>
      </c>
      <c r="L6" s="5" t="n">
        <v>5</v>
      </c>
      <c r="M6" s="5" t="n">
        <v>5</v>
      </c>
      <c r="N6" s="5" t="n">
        <v>180</v>
      </c>
      <c r="O6" s="5" t="n">
        <v>600</v>
      </c>
      <c r="P6" s="5" t="n">
        <v>960</v>
      </c>
      <c r="Q6" s="5" t="n">
        <v>960</v>
      </c>
      <c r="R6" s="5" t="n">
        <v>960</v>
      </c>
      <c r="S6" s="5" t="n">
        <v>960</v>
      </c>
      <c r="T6" s="5" t="n">
        <v>960</v>
      </c>
      <c r="U6" s="5" t="n">
        <v>960</v>
      </c>
      <c r="V6" s="5" t="n">
        <v>960</v>
      </c>
      <c r="W6" s="16">
        <f>SUM(B6:V6)</f>
        <v/>
      </c>
    </row>
    <row r="7">
      <c r="A7" s="4" t="inlineStr">
        <is>
          <t>Förderung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>
        <v>5000</v>
      </c>
      <c r="P7" s="5" t="n">
        <v>3000</v>
      </c>
      <c r="Q7" s="5" t="n">
        <v>3000</v>
      </c>
      <c r="R7" s="5" t="n">
        <v>3000</v>
      </c>
      <c r="S7" s="5" t="n">
        <v>3000</v>
      </c>
      <c r="T7" s="5" t="n">
        <v>3000</v>
      </c>
      <c r="U7" s="5" t="n">
        <v>3000</v>
      </c>
      <c r="V7" s="5" t="n">
        <v>3000</v>
      </c>
      <c r="W7" s="16">
        <f>SUM(B7:V7)</f>
        <v/>
      </c>
    </row>
    <row r="8">
      <c r="A8" s="4" t="inlineStr">
        <is>
          <t>Mikromezzanin-Auszahlung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>
        <v>50000</v>
      </c>
      <c r="P8" s="5" t="n"/>
      <c r="Q8" s="5" t="n"/>
      <c r="R8" s="5" t="n"/>
      <c r="S8" s="5" t="n"/>
      <c r="T8" s="5" t="n"/>
      <c r="U8" s="5" t="n"/>
      <c r="V8" s="5" t="n"/>
      <c r="W8" s="16">
        <f>SUM(B8:V8)</f>
        <v/>
      </c>
    </row>
    <row r="9">
      <c r="A9" s="17" t="inlineStr">
        <is>
          <t>Summe Einnahmen</t>
        </is>
      </c>
      <c r="B9" s="18" t="n">
        <v>39.92</v>
      </c>
      <c r="C9" s="18" t="n">
        <v>85.83</v>
      </c>
      <c r="D9" s="18" t="n">
        <v>140.74</v>
      </c>
      <c r="E9" s="18" t="n">
        <v>181.66</v>
      </c>
      <c r="F9" s="18" t="n">
        <v>226.57</v>
      </c>
      <c r="G9" s="18" t="n">
        <v>281.48</v>
      </c>
      <c r="H9" s="18" t="n">
        <v>322.4</v>
      </c>
      <c r="I9" s="18" t="n">
        <v>367.3100000000001</v>
      </c>
      <c r="J9" s="18" t="n">
        <v>408.23</v>
      </c>
      <c r="K9" s="18" t="n">
        <v>448.15</v>
      </c>
      <c r="L9" s="18" t="n">
        <v>509.0500000000001</v>
      </c>
      <c r="M9" s="18" t="n">
        <v>548.97</v>
      </c>
      <c r="N9" s="18" t="n">
        <v>19043.4</v>
      </c>
      <c r="O9" s="18" t="n">
        <v>119077.6</v>
      </c>
      <c r="P9" s="18" t="n">
        <v>111152.4</v>
      </c>
      <c r="Q9" s="18" t="n">
        <v>111152.4</v>
      </c>
      <c r="R9" s="18" t="n">
        <v>111152.4</v>
      </c>
      <c r="S9" s="18" t="n">
        <v>111152.4</v>
      </c>
      <c r="T9" s="18" t="n">
        <v>111152.4</v>
      </c>
      <c r="U9" s="18" t="n">
        <v>111152.4</v>
      </c>
      <c r="V9" s="18" t="n">
        <v>111152.4</v>
      </c>
      <c r="W9" s="9">
        <f>SUM(B9:V9)</f>
        <v/>
      </c>
    </row>
    <row r="11">
      <c r="A11" s="15" t="inlineStr">
        <is>
          <t>AUSGABEN</t>
        </is>
      </c>
    </row>
    <row r="12">
      <c r="A12" s="4" t="inlineStr">
        <is>
          <t>Investitionen</t>
        </is>
      </c>
      <c r="B12" s="5" t="n">
        <v>5000</v>
      </c>
      <c r="C12" s="5" t="n">
        <v>490</v>
      </c>
      <c r="D12" s="5" t="n">
        <v>500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16">
        <f>SUM(B12:V12)</f>
        <v/>
      </c>
    </row>
    <row r="13">
      <c r="A13" s="4" t="inlineStr">
        <is>
          <t>LLM-Token + Bilder</t>
        </is>
      </c>
      <c r="B13" s="5" t="n">
        <v>38.4</v>
      </c>
      <c r="C13" s="5" t="n">
        <v>81.59999999999999</v>
      </c>
      <c r="D13" s="5" t="n">
        <v>120</v>
      </c>
      <c r="E13" s="5" t="n">
        <v>158.4</v>
      </c>
      <c r="F13" s="5" t="n">
        <v>201.6</v>
      </c>
      <c r="G13" s="5" t="n">
        <v>240</v>
      </c>
      <c r="H13" s="5" t="n">
        <v>278.4</v>
      </c>
      <c r="I13" s="5" t="n">
        <v>321.6</v>
      </c>
      <c r="J13" s="5" t="n">
        <v>360</v>
      </c>
      <c r="K13" s="5" t="n">
        <v>398.4</v>
      </c>
      <c r="L13" s="5" t="n">
        <v>441.6</v>
      </c>
      <c r="M13" s="5" t="n">
        <v>480</v>
      </c>
      <c r="N13" s="5" t="n">
        <v>17280</v>
      </c>
      <c r="O13" s="5" t="n">
        <v>33600</v>
      </c>
      <c r="P13" s="5" t="n">
        <v>57120.00000000001</v>
      </c>
      <c r="Q13" s="5" t="n">
        <v>57120.00000000001</v>
      </c>
      <c r="R13" s="5" t="n">
        <v>57120.00000000001</v>
      </c>
      <c r="S13" s="5" t="n">
        <v>57120.00000000001</v>
      </c>
      <c r="T13" s="5" t="n">
        <v>57120.00000000001</v>
      </c>
      <c r="U13" s="5" t="n">
        <v>57120.00000000001</v>
      </c>
      <c r="V13" s="5" t="n">
        <v>57120.00000000001</v>
      </c>
      <c r="W13" s="16">
        <f>SUM(B13:V13)</f>
        <v/>
      </c>
    </row>
    <row r="14">
      <c r="A14" s="4" t="inlineStr">
        <is>
          <t>Stripe-Gebühren</t>
        </is>
      </c>
      <c r="B14" s="5" t="n">
        <v>2.55888</v>
      </c>
      <c r="C14" s="5" t="n">
        <v>5.70162</v>
      </c>
      <c r="D14" s="5" t="n">
        <v>8.720359999999999</v>
      </c>
      <c r="E14" s="5" t="n">
        <v>11.54324</v>
      </c>
      <c r="F14" s="5" t="n">
        <v>14.42198</v>
      </c>
      <c r="G14" s="5" t="n">
        <v>17.44072</v>
      </c>
      <c r="H14" s="5" t="n">
        <v>20.2636</v>
      </c>
      <c r="I14" s="5" t="n">
        <v>23.14234</v>
      </c>
      <c r="J14" s="5" t="n">
        <v>25.96522</v>
      </c>
      <c r="K14" s="5" t="n">
        <v>28.5241</v>
      </c>
      <c r="L14" s="5" t="n">
        <v>32.1267</v>
      </c>
      <c r="M14" s="5" t="n">
        <v>34.68558</v>
      </c>
      <c r="N14" s="5" t="n">
        <v>1226.6076</v>
      </c>
      <c r="O14" s="5" t="n">
        <v>4107.0864</v>
      </c>
      <c r="P14" s="5" t="n">
        <v>6944.1336</v>
      </c>
      <c r="Q14" s="5" t="n">
        <v>6944.1336</v>
      </c>
      <c r="R14" s="5" t="n">
        <v>6944.1336</v>
      </c>
      <c r="S14" s="5" t="n">
        <v>6944.1336</v>
      </c>
      <c r="T14" s="5" t="n">
        <v>6944.1336</v>
      </c>
      <c r="U14" s="5" t="n">
        <v>6944.1336</v>
      </c>
      <c r="V14" s="5" t="n">
        <v>6944.1336</v>
      </c>
      <c r="W14" s="16">
        <f>SUM(B14:V14)</f>
        <v/>
      </c>
    </row>
    <row r="15">
      <c r="A15" s="4" t="inlineStr">
        <is>
          <t>Hosting · Backend</t>
        </is>
      </c>
      <c r="B15" s="5" t="n">
        <v>25</v>
      </c>
      <c r="C15" s="5" t="n">
        <v>25</v>
      </c>
      <c r="D15" s="5" t="n">
        <v>25</v>
      </c>
      <c r="E15" s="5" t="n">
        <v>25</v>
      </c>
      <c r="F15" s="5" t="n">
        <v>25</v>
      </c>
      <c r="G15" s="5" t="n">
        <v>25</v>
      </c>
      <c r="H15" s="5" t="n">
        <v>25</v>
      </c>
      <c r="I15" s="5" t="n">
        <v>25</v>
      </c>
      <c r="J15" s="5" t="n">
        <v>25</v>
      </c>
      <c r="K15" s="5" t="n">
        <v>25</v>
      </c>
      <c r="L15" s="5" t="n">
        <v>25</v>
      </c>
      <c r="M15" s="5" t="n">
        <v>25</v>
      </c>
      <c r="N15" s="5" t="n">
        <v>900</v>
      </c>
      <c r="O15" s="5" t="n">
        <v>4800</v>
      </c>
      <c r="P15" s="5" t="n">
        <v>7200</v>
      </c>
      <c r="Q15" s="5" t="n">
        <v>7200</v>
      </c>
      <c r="R15" s="5" t="n">
        <v>7200</v>
      </c>
      <c r="S15" s="5" t="n">
        <v>7200</v>
      </c>
      <c r="T15" s="5" t="n">
        <v>7200</v>
      </c>
      <c r="U15" s="5" t="n">
        <v>7200</v>
      </c>
      <c r="V15" s="5" t="n">
        <v>7200</v>
      </c>
      <c r="W15" s="16">
        <f>SUM(B15:V15)</f>
        <v/>
      </c>
    </row>
    <row r="16">
      <c r="A16" s="4" t="inlineStr">
        <is>
          <t>Recht · Buchhaltung · Versicherung</t>
        </is>
      </c>
      <c r="B16" s="5" t="n">
        <v>50</v>
      </c>
      <c r="C16" s="5" t="n">
        <v>50</v>
      </c>
      <c r="D16" s="5" t="n">
        <v>50</v>
      </c>
      <c r="E16" s="5" t="n">
        <v>50</v>
      </c>
      <c r="F16" s="5" t="n">
        <v>50</v>
      </c>
      <c r="G16" s="5" t="n">
        <v>50</v>
      </c>
      <c r="H16" s="5" t="n">
        <v>50</v>
      </c>
      <c r="I16" s="5" t="n">
        <v>50</v>
      </c>
      <c r="J16" s="5" t="n">
        <v>50</v>
      </c>
      <c r="K16" s="5" t="n">
        <v>50</v>
      </c>
      <c r="L16" s="5" t="n">
        <v>50</v>
      </c>
      <c r="M16" s="5" t="n">
        <v>50</v>
      </c>
      <c r="N16" s="5" t="n">
        <v>3000</v>
      </c>
      <c r="O16" s="5" t="n">
        <v>6000</v>
      </c>
      <c r="P16" s="5" t="n">
        <v>7200</v>
      </c>
      <c r="Q16" s="5" t="n">
        <v>7200</v>
      </c>
      <c r="R16" s="5" t="n">
        <v>7200</v>
      </c>
      <c r="S16" s="5" t="n">
        <v>7200</v>
      </c>
      <c r="T16" s="5" t="n">
        <v>7200</v>
      </c>
      <c r="U16" s="5" t="n">
        <v>7200</v>
      </c>
      <c r="V16" s="5" t="n">
        <v>7200</v>
      </c>
      <c r="W16" s="16">
        <f>SUM(B16:V16)</f>
        <v/>
      </c>
    </row>
    <row r="17">
      <c r="A17" s="4" t="inlineStr">
        <is>
          <t>Dev-Tools · Subscriptions</t>
        </is>
      </c>
      <c r="B17" s="5" t="n">
        <v>100</v>
      </c>
      <c r="C17" s="5" t="n">
        <v>100</v>
      </c>
      <c r="D17" s="5" t="n">
        <v>100</v>
      </c>
      <c r="E17" s="5" t="n">
        <v>100</v>
      </c>
      <c r="F17" s="5" t="n">
        <v>100</v>
      </c>
      <c r="G17" s="5" t="n">
        <v>100</v>
      </c>
      <c r="H17" s="5" t="n">
        <v>100</v>
      </c>
      <c r="I17" s="5" t="n">
        <v>100</v>
      </c>
      <c r="J17" s="5" t="n">
        <v>100</v>
      </c>
      <c r="K17" s="5" t="n">
        <v>100</v>
      </c>
      <c r="L17" s="5" t="n">
        <v>100</v>
      </c>
      <c r="M17" s="5" t="n">
        <v>100</v>
      </c>
      <c r="N17" s="5" t="n">
        <v>1440</v>
      </c>
      <c r="O17" s="5" t="n">
        <v>1800</v>
      </c>
      <c r="P17" s="5" t="n">
        <v>2400</v>
      </c>
      <c r="Q17" s="5" t="n">
        <v>2400</v>
      </c>
      <c r="R17" s="5" t="n">
        <v>2400</v>
      </c>
      <c r="S17" s="5" t="n">
        <v>2400</v>
      </c>
      <c r="T17" s="5" t="n">
        <v>2400</v>
      </c>
      <c r="U17" s="5" t="n">
        <v>2400</v>
      </c>
      <c r="V17" s="5" t="n">
        <v>2400</v>
      </c>
      <c r="W17" s="16">
        <f>SUM(B17:V17)</f>
        <v/>
      </c>
    </row>
    <row r="18">
      <c r="A18" s="4" t="inlineStr">
        <is>
          <t>Marketing · Merch</t>
        </is>
      </c>
      <c r="B18" s="5" t="n">
        <v>10</v>
      </c>
      <c r="C18" s="5" t="n">
        <v>10</v>
      </c>
      <c r="D18" s="5" t="n">
        <v>10</v>
      </c>
      <c r="E18" s="5" t="n">
        <v>10</v>
      </c>
      <c r="F18" s="5" t="n">
        <v>10</v>
      </c>
      <c r="G18" s="5" t="n">
        <v>10</v>
      </c>
      <c r="H18" s="5" t="n">
        <v>10</v>
      </c>
      <c r="I18" s="5" t="n">
        <v>10</v>
      </c>
      <c r="J18" s="5" t="n">
        <v>10</v>
      </c>
      <c r="K18" s="5" t="n">
        <v>10</v>
      </c>
      <c r="L18" s="5" t="n">
        <v>10</v>
      </c>
      <c r="M18" s="5" t="n">
        <v>10</v>
      </c>
      <c r="N18" s="5" t="n">
        <v>1200</v>
      </c>
      <c r="O18" s="5" t="n">
        <v>6000</v>
      </c>
      <c r="P18" s="5" t="n">
        <v>7200</v>
      </c>
      <c r="Q18" s="5" t="n">
        <v>7200</v>
      </c>
      <c r="R18" s="5" t="n">
        <v>7200</v>
      </c>
      <c r="S18" s="5" t="n">
        <v>7200</v>
      </c>
      <c r="T18" s="5" t="n">
        <v>7200</v>
      </c>
      <c r="U18" s="5" t="n">
        <v>7200</v>
      </c>
      <c r="V18" s="5" t="n">
        <v>7200</v>
      </c>
      <c r="W18" s="16">
        <f>SUM(B18:V18)</f>
        <v/>
      </c>
    </row>
    <row r="19">
      <c r="A19" s="4" t="inlineStr">
        <is>
          <t>Sonstige (Strom, Reise, Porto)</t>
        </is>
      </c>
      <c r="B19" s="5" t="n">
        <v>50</v>
      </c>
      <c r="C19" s="5" t="n">
        <v>50</v>
      </c>
      <c r="D19" s="5" t="n">
        <v>50</v>
      </c>
      <c r="E19" s="5" t="n">
        <v>50</v>
      </c>
      <c r="F19" s="5" t="n">
        <v>50</v>
      </c>
      <c r="G19" s="5" t="n">
        <v>50</v>
      </c>
      <c r="H19" s="5" t="n">
        <v>50</v>
      </c>
      <c r="I19" s="5" t="n">
        <v>50</v>
      </c>
      <c r="J19" s="5" t="n">
        <v>50</v>
      </c>
      <c r="K19" s="5" t="n">
        <v>50</v>
      </c>
      <c r="L19" s="5" t="n">
        <v>50</v>
      </c>
      <c r="M19" s="5" t="n">
        <v>50</v>
      </c>
      <c r="N19" s="5" t="n">
        <v>960</v>
      </c>
      <c r="O19" s="5" t="n">
        <v>2040</v>
      </c>
      <c r="P19" s="5" t="n">
        <v>2400</v>
      </c>
      <c r="Q19" s="5" t="n">
        <v>2400</v>
      </c>
      <c r="R19" s="5" t="n">
        <v>2400</v>
      </c>
      <c r="S19" s="5" t="n">
        <v>2400</v>
      </c>
      <c r="T19" s="5" t="n">
        <v>2400</v>
      </c>
      <c r="U19" s="5" t="n">
        <v>2400</v>
      </c>
      <c r="V19" s="5" t="n">
        <v>2400</v>
      </c>
      <c r="W19" s="16">
        <f>SUM(B19:V19)</f>
        <v/>
      </c>
    </row>
    <row r="20">
      <c r="A20" s="4" t="inlineStr">
        <is>
          <t>Personal (Entnahme + Mitarbeiter)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>
        <v>45000</v>
      </c>
      <c r="P20" s="5" t="n">
        <v>90000</v>
      </c>
      <c r="Q20" s="5" t="n">
        <v>90000</v>
      </c>
      <c r="R20" s="5" t="n">
        <v>90000</v>
      </c>
      <c r="S20" s="5" t="n">
        <v>90000</v>
      </c>
      <c r="T20" s="5" t="n">
        <v>90000</v>
      </c>
      <c r="U20" s="5" t="n">
        <v>90000</v>
      </c>
      <c r="V20" s="5" t="n">
        <v>90000</v>
      </c>
      <c r="W20" s="16">
        <f>SUM(B20:V20)</f>
        <v/>
      </c>
    </row>
    <row r="21">
      <c r="A21" s="4" t="inlineStr">
        <is>
          <t>Mikromezzanin-Zinsen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>
        <v>3666.666666666667</v>
      </c>
      <c r="P21" s="5" t="n">
        <v>4000</v>
      </c>
      <c r="Q21" s="5" t="n">
        <v>4000</v>
      </c>
      <c r="R21" s="5" t="n">
        <v>4000</v>
      </c>
      <c r="S21" s="5" t="n">
        <v>4000</v>
      </c>
      <c r="T21" s="5" t="n">
        <v>4000</v>
      </c>
      <c r="U21" s="5" t="n">
        <v>4000</v>
      </c>
      <c r="V21" s="5" t="n">
        <v>4000</v>
      </c>
      <c r="W21" s="16">
        <f>SUM(B21:V21)</f>
        <v/>
      </c>
    </row>
    <row r="22">
      <c r="A22" s="4" t="inlineStr">
        <is>
          <t>Mikromezzanin-Tilgung (endfällig)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16">
        <f>SUM(B22:V22)</f>
        <v/>
      </c>
    </row>
    <row r="23">
      <c r="A23" s="10" t="inlineStr">
        <is>
          <t>Summe Ausgaben</t>
        </is>
      </c>
      <c r="B23" s="6" t="n">
        <v>5275.958879999999</v>
      </c>
      <c r="C23" s="6" t="n">
        <v>812.3016200000001</v>
      </c>
      <c r="D23" s="6" t="n">
        <v>863.72036</v>
      </c>
      <c r="E23" s="6" t="n">
        <v>404.94324</v>
      </c>
      <c r="F23" s="6" t="n">
        <v>451.02198</v>
      </c>
      <c r="G23" s="6" t="n">
        <v>492.44072</v>
      </c>
      <c r="H23" s="6" t="n">
        <v>533.6636</v>
      </c>
      <c r="I23" s="6" t="n">
        <v>579.74234</v>
      </c>
      <c r="J23" s="6" t="n">
        <v>620.96522</v>
      </c>
      <c r="K23" s="6" t="n">
        <v>661.9241</v>
      </c>
      <c r="L23" s="6" t="n">
        <v>708.7266999999999</v>
      </c>
      <c r="M23" s="6" t="n">
        <v>749.68558</v>
      </c>
      <c r="N23" s="6" t="n">
        <v>26006.6076</v>
      </c>
      <c r="O23" s="6" t="n">
        <v>107013.7530666667</v>
      </c>
      <c r="P23" s="6" t="n">
        <v>184464.1336</v>
      </c>
      <c r="Q23" s="6" t="n">
        <v>184464.1336</v>
      </c>
      <c r="R23" s="6" t="n">
        <v>184464.1336</v>
      </c>
      <c r="S23" s="6" t="n">
        <v>184464.1336</v>
      </c>
      <c r="T23" s="6" t="n">
        <v>184464.1336</v>
      </c>
      <c r="U23" s="6" t="n">
        <v>184464.1336</v>
      </c>
      <c r="V23" s="6" t="n">
        <v>184464.1336</v>
      </c>
      <c r="W23" s="8">
        <f>SUM(B23:V23)</f>
        <v/>
      </c>
    </row>
    <row r="25">
      <c r="A25" s="19" t="inlineStr">
        <is>
          <t>Liquidität im laufenden Monat/Jahr</t>
        </is>
      </c>
      <c r="B25" s="20">
        <f>B9-B23</f>
        <v/>
      </c>
      <c r="C25" s="20">
        <f>C9-C23</f>
        <v/>
      </c>
      <c r="D25" s="20">
        <f>D9-D23</f>
        <v/>
      </c>
      <c r="E25" s="20">
        <f>E9-E23</f>
        <v/>
      </c>
      <c r="F25" s="20">
        <f>F9-F23</f>
        <v/>
      </c>
      <c r="G25" s="20">
        <f>G9-G23</f>
        <v/>
      </c>
      <c r="H25" s="20">
        <f>H9-H23</f>
        <v/>
      </c>
      <c r="I25" s="20">
        <f>I9-I23</f>
        <v/>
      </c>
      <c r="J25" s="20">
        <f>J9-J23</f>
        <v/>
      </c>
      <c r="K25" s="20">
        <f>K9-K23</f>
        <v/>
      </c>
      <c r="L25" s="20">
        <f>L9-L23</f>
        <v/>
      </c>
      <c r="M25" s="20">
        <f>M9-M23</f>
        <v/>
      </c>
      <c r="N25" s="20">
        <f>N9-N23</f>
        <v/>
      </c>
      <c r="O25" s="20">
        <f>O9-O23</f>
        <v/>
      </c>
      <c r="P25" s="20">
        <f>P9-P23</f>
        <v/>
      </c>
      <c r="Q25" s="20">
        <f>Q9-Q23</f>
        <v/>
      </c>
      <c r="R25" s="20">
        <f>R9-R23</f>
        <v/>
      </c>
      <c r="S25" s="20">
        <f>S9-S23</f>
        <v/>
      </c>
      <c r="T25" s="20">
        <f>T9-T23</f>
        <v/>
      </c>
      <c r="U25" s="20">
        <f>U9-U23</f>
        <v/>
      </c>
      <c r="V25" s="20">
        <f>V9-V23</f>
        <v/>
      </c>
      <c r="W25" s="20">
        <f>W9-W23</f>
        <v/>
      </c>
    </row>
    <row r="26">
      <c r="A26" s="19" t="inlineStr">
        <is>
          <t>Kumulierte Liquidität (inkl. 3000 € Startkapital)</t>
        </is>
      </c>
      <c r="B26" s="20">
        <f>3000+B25</f>
        <v/>
      </c>
      <c r="C26" s="20">
        <f>B26+C25</f>
        <v/>
      </c>
      <c r="D26" s="20">
        <f>C26+D25</f>
        <v/>
      </c>
      <c r="E26" s="20">
        <f>D26+E25</f>
        <v/>
      </c>
      <c r="F26" s="20">
        <f>E26+F25</f>
        <v/>
      </c>
      <c r="G26" s="20">
        <f>F26+G25</f>
        <v/>
      </c>
      <c r="H26" s="20">
        <f>G26+H25</f>
        <v/>
      </c>
      <c r="I26" s="20">
        <f>H26+I25</f>
        <v/>
      </c>
      <c r="J26" s="20">
        <f>I26+J25</f>
        <v/>
      </c>
      <c r="K26" s="20">
        <f>J26+K25</f>
        <v/>
      </c>
      <c r="L26" s="20">
        <f>K26+L25</f>
        <v/>
      </c>
      <c r="M26" s="20">
        <f>L26+M25</f>
        <v/>
      </c>
      <c r="N26" s="20">
        <f>M26+N25</f>
        <v/>
      </c>
      <c r="O26" s="20">
        <f>N26+O25</f>
        <v/>
      </c>
      <c r="P26" s="20">
        <f>O26+P25</f>
        <v/>
      </c>
      <c r="Q26" s="20">
        <f>P26+Q25</f>
        <v/>
      </c>
      <c r="R26" s="20">
        <f>Q26+R25</f>
        <v/>
      </c>
      <c r="S26" s="20">
        <f>R26+S25</f>
        <v/>
      </c>
      <c r="T26" s="20">
        <f>S26+T25</f>
        <v/>
      </c>
      <c r="U26" s="20">
        <f>T26+U25</f>
        <v/>
      </c>
      <c r="V26" s="20">
        <f>U26+V25</f>
        <v/>
      </c>
      <c r="W26" s="20">
        <f>V26+W25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4" t="inlineStr">
        <is>
          <t>Rentabilitätsplan (GuV — kalkulatorische Sicht)</t>
        </is>
      </c>
    </row>
    <row r="2">
      <c r="A2" s="3" t="inlineStr">
        <is>
          <t>Posten</t>
        </is>
      </c>
      <c r="B2" s="12" t="inlineStr">
        <is>
          <t>Monat 1</t>
        </is>
      </c>
      <c r="C2" s="12" t="inlineStr">
        <is>
          <t>Monat 2</t>
        </is>
      </c>
      <c r="D2" s="12" t="inlineStr">
        <is>
          <t>Monat 3</t>
        </is>
      </c>
      <c r="E2" s="12" t="inlineStr">
        <is>
          <t>Monat 4</t>
        </is>
      </c>
      <c r="F2" s="12" t="inlineStr">
        <is>
          <t>Monat 5</t>
        </is>
      </c>
      <c r="G2" s="12" t="inlineStr">
        <is>
          <t>Monat 6</t>
        </is>
      </c>
      <c r="H2" s="12" t="inlineStr">
        <is>
          <t>Monat 7</t>
        </is>
      </c>
      <c r="I2" s="12" t="inlineStr">
        <is>
          <t>Monat 8</t>
        </is>
      </c>
      <c r="J2" s="12" t="inlineStr">
        <is>
          <t>Monat 9</t>
        </is>
      </c>
      <c r="K2" s="12" t="inlineStr">
        <is>
          <t>Monat 10</t>
        </is>
      </c>
      <c r="L2" s="12" t="inlineStr">
        <is>
          <t>Monat 11</t>
        </is>
      </c>
      <c r="M2" s="12" t="inlineStr">
        <is>
          <t>Monat 12</t>
        </is>
      </c>
      <c r="N2" s="12" t="inlineStr">
        <is>
          <t>Jahr 2</t>
        </is>
      </c>
      <c r="O2" s="12" t="inlineStr">
        <is>
          <t>Jahr 3</t>
        </is>
      </c>
      <c r="P2" s="12" t="inlineStr">
        <is>
          <t>Jahr 4</t>
        </is>
      </c>
      <c r="Q2" s="12" t="inlineStr">
        <is>
          <t>Jahr 5</t>
        </is>
      </c>
      <c r="R2" s="12" t="inlineStr">
        <is>
          <t>Jahr 6</t>
        </is>
      </c>
      <c r="S2" s="12" t="inlineStr">
        <is>
          <t>Jahr 7</t>
        </is>
      </c>
      <c r="T2" s="12" t="inlineStr">
        <is>
          <t>Jahr 8</t>
        </is>
      </c>
      <c r="U2" s="12" t="inlineStr">
        <is>
          <t>Jahr 9</t>
        </is>
      </c>
      <c r="V2" s="12" t="inlineStr">
        <is>
          <t>Jahr 10</t>
        </is>
      </c>
      <c r="W2" s="12" t="inlineStr">
        <is>
          <t>Summe 10J</t>
        </is>
      </c>
    </row>
    <row r="3">
      <c r="A3" s="15" t="inlineStr">
        <is>
          <t>ERTRÄGE</t>
        </is>
      </c>
    </row>
    <row r="4">
      <c r="A4" s="4" t="inlineStr">
        <is>
          <t>Premium-Abos</t>
        </is>
      </c>
      <c r="B4" s="5" t="n">
        <v>39.92</v>
      </c>
      <c r="C4" s="5" t="n">
        <v>84.83</v>
      </c>
      <c r="D4" s="5" t="n">
        <v>124.75</v>
      </c>
      <c r="E4" s="5" t="n">
        <v>164.67</v>
      </c>
      <c r="F4" s="5" t="n">
        <v>209.58</v>
      </c>
      <c r="G4" s="5" t="n">
        <v>249.5</v>
      </c>
      <c r="H4" s="5" t="n">
        <v>289.42</v>
      </c>
      <c r="I4" s="5" t="n">
        <v>334.33</v>
      </c>
      <c r="J4" s="5" t="n">
        <v>374.25</v>
      </c>
      <c r="K4" s="5" t="n">
        <v>414.17</v>
      </c>
      <c r="L4" s="5" t="n">
        <v>459.08</v>
      </c>
      <c r="M4" s="5" t="n">
        <v>499</v>
      </c>
      <c r="N4" s="5" t="n">
        <v>17964</v>
      </c>
      <c r="O4" s="5" t="n">
        <v>59880</v>
      </c>
      <c r="P4" s="5" t="n">
        <v>101796</v>
      </c>
      <c r="Q4" s="5" t="n">
        <v>101796</v>
      </c>
      <c r="R4" s="5" t="n">
        <v>101796</v>
      </c>
      <c r="S4" s="5" t="n">
        <v>101796</v>
      </c>
      <c r="T4" s="5" t="n">
        <v>101796</v>
      </c>
      <c r="U4" s="5" t="n">
        <v>101796</v>
      </c>
      <c r="V4" s="5" t="n">
        <v>101796</v>
      </c>
      <c r="W4" s="16">
        <f>SUM(B4:V4)</f>
        <v/>
      </c>
    </row>
    <row r="5">
      <c r="A5" s="4" t="inlineStr">
        <is>
          <t>Pro-Accounts</t>
        </is>
      </c>
      <c r="B5" s="5" t="n"/>
      <c r="C5" s="5" t="n"/>
      <c r="D5" s="5" t="n">
        <v>14.99</v>
      </c>
      <c r="E5" s="5" t="n">
        <v>14.99</v>
      </c>
      <c r="F5" s="5" t="n">
        <v>14.99</v>
      </c>
      <c r="G5" s="5" t="n">
        <v>29.98</v>
      </c>
      <c r="H5" s="5" t="n">
        <v>29.98</v>
      </c>
      <c r="I5" s="5" t="n">
        <v>29.98</v>
      </c>
      <c r="J5" s="5" t="n">
        <v>29.98</v>
      </c>
      <c r="K5" s="5" t="n">
        <v>29.98</v>
      </c>
      <c r="L5" s="5" t="n">
        <v>44.97</v>
      </c>
      <c r="M5" s="5" t="n">
        <v>44.97</v>
      </c>
      <c r="N5" s="5" t="n">
        <v>899.4</v>
      </c>
      <c r="O5" s="5" t="n">
        <v>3597.6</v>
      </c>
      <c r="P5" s="5" t="n">
        <v>5396.4</v>
      </c>
      <c r="Q5" s="5" t="n">
        <v>5396.4</v>
      </c>
      <c r="R5" s="5" t="n">
        <v>5396.4</v>
      </c>
      <c r="S5" s="5" t="n">
        <v>5396.4</v>
      </c>
      <c r="T5" s="5" t="n">
        <v>5396.4</v>
      </c>
      <c r="U5" s="5" t="n">
        <v>5396.4</v>
      </c>
      <c r="V5" s="5" t="n">
        <v>5396.4</v>
      </c>
      <c r="W5" s="16">
        <f>SUM(B5:V5)</f>
        <v/>
      </c>
    </row>
    <row r="6">
      <c r="A6" s="4" t="inlineStr">
        <is>
          <t>Kaffeekassen</t>
        </is>
      </c>
      <c r="B6" s="5" t="n"/>
      <c r="C6" s="5" t="n">
        <v>1</v>
      </c>
      <c r="D6" s="5" t="n">
        <v>1</v>
      </c>
      <c r="E6" s="5" t="n">
        <v>2</v>
      </c>
      <c r="F6" s="5" t="n">
        <v>2</v>
      </c>
      <c r="G6" s="5" t="n">
        <v>2</v>
      </c>
      <c r="H6" s="5" t="n">
        <v>3</v>
      </c>
      <c r="I6" s="5" t="n">
        <v>3</v>
      </c>
      <c r="J6" s="5" t="n">
        <v>4</v>
      </c>
      <c r="K6" s="5" t="n">
        <v>4</v>
      </c>
      <c r="L6" s="5" t="n">
        <v>5</v>
      </c>
      <c r="M6" s="5" t="n">
        <v>5</v>
      </c>
      <c r="N6" s="5" t="n">
        <v>180</v>
      </c>
      <c r="O6" s="5" t="n">
        <v>600</v>
      </c>
      <c r="P6" s="5" t="n">
        <v>960</v>
      </c>
      <c r="Q6" s="5" t="n">
        <v>960</v>
      </c>
      <c r="R6" s="5" t="n">
        <v>960</v>
      </c>
      <c r="S6" s="5" t="n">
        <v>960</v>
      </c>
      <c r="T6" s="5" t="n">
        <v>960</v>
      </c>
      <c r="U6" s="5" t="n">
        <v>960</v>
      </c>
      <c r="V6" s="5" t="n">
        <v>960</v>
      </c>
      <c r="W6" s="16">
        <f>SUM(B6:V6)</f>
        <v/>
      </c>
    </row>
    <row r="7">
      <c r="A7" s="4" t="inlineStr">
        <is>
          <t>Förderung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>
        <v>5000</v>
      </c>
      <c r="P7" s="5" t="n">
        <v>3000</v>
      </c>
      <c r="Q7" s="5" t="n">
        <v>3000</v>
      </c>
      <c r="R7" s="5" t="n">
        <v>3000</v>
      </c>
      <c r="S7" s="5" t="n">
        <v>3000</v>
      </c>
      <c r="T7" s="5" t="n">
        <v>3000</v>
      </c>
      <c r="U7" s="5" t="n">
        <v>3000</v>
      </c>
      <c r="V7" s="5" t="n">
        <v>3000</v>
      </c>
      <c r="W7" s="16">
        <f>SUM(B7:V7)</f>
        <v/>
      </c>
    </row>
    <row r="8">
      <c r="A8" s="17" t="inlineStr">
        <is>
          <t>Summe Erträge</t>
        </is>
      </c>
      <c r="B8" s="18" t="n">
        <v>39.92</v>
      </c>
      <c r="C8" s="18" t="n">
        <v>85.83</v>
      </c>
      <c r="D8" s="18" t="n">
        <v>140.74</v>
      </c>
      <c r="E8" s="18" t="n">
        <v>181.66</v>
      </c>
      <c r="F8" s="18" t="n">
        <v>226.57</v>
      </c>
      <c r="G8" s="18" t="n">
        <v>281.48</v>
      </c>
      <c r="H8" s="18" t="n">
        <v>322.4</v>
      </c>
      <c r="I8" s="18" t="n">
        <v>367.3100000000001</v>
      </c>
      <c r="J8" s="18" t="n">
        <v>408.23</v>
      </c>
      <c r="K8" s="18" t="n">
        <v>448.15</v>
      </c>
      <c r="L8" s="18" t="n">
        <v>509.0500000000001</v>
      </c>
      <c r="M8" s="18" t="n">
        <v>548.97</v>
      </c>
      <c r="N8" s="18" t="n">
        <v>19043.4</v>
      </c>
      <c r="O8" s="18" t="n">
        <v>69077.60000000001</v>
      </c>
      <c r="P8" s="18" t="n">
        <v>111152.4</v>
      </c>
      <c r="Q8" s="18" t="n">
        <v>111152.4</v>
      </c>
      <c r="R8" s="18" t="n">
        <v>111152.4</v>
      </c>
      <c r="S8" s="18" t="n">
        <v>111152.4</v>
      </c>
      <c r="T8" s="18" t="n">
        <v>111152.4</v>
      </c>
      <c r="U8" s="18" t="n">
        <v>111152.4</v>
      </c>
      <c r="V8" s="18" t="n">
        <v>111152.4</v>
      </c>
      <c r="W8" s="9">
        <f>SUM(B8:V8)</f>
        <v/>
      </c>
    </row>
    <row r="10">
      <c r="A10" s="15" t="inlineStr">
        <is>
          <t>AUFWENDUNGEN</t>
        </is>
      </c>
    </row>
    <row r="11">
      <c r="A11" s="4" t="inlineStr">
        <is>
          <t>LLM-Token + Bilder</t>
        </is>
      </c>
      <c r="B11" s="5" t="n">
        <v>38.4</v>
      </c>
      <c r="C11" s="5" t="n">
        <v>81.59999999999999</v>
      </c>
      <c r="D11" s="5" t="n">
        <v>120</v>
      </c>
      <c r="E11" s="5" t="n">
        <v>158.4</v>
      </c>
      <c r="F11" s="5" t="n">
        <v>201.6</v>
      </c>
      <c r="G11" s="5" t="n">
        <v>240</v>
      </c>
      <c r="H11" s="5" t="n">
        <v>278.4</v>
      </c>
      <c r="I11" s="5" t="n">
        <v>321.6</v>
      </c>
      <c r="J11" s="5" t="n">
        <v>360</v>
      </c>
      <c r="K11" s="5" t="n">
        <v>398.4</v>
      </c>
      <c r="L11" s="5" t="n">
        <v>441.6</v>
      </c>
      <c r="M11" s="5" t="n">
        <v>480</v>
      </c>
      <c r="N11" s="5" t="n">
        <v>17280</v>
      </c>
      <c r="O11" s="5" t="n">
        <v>33600</v>
      </c>
      <c r="P11" s="5" t="n">
        <v>57120.00000000001</v>
      </c>
      <c r="Q11" s="5" t="n">
        <v>57120.00000000001</v>
      </c>
      <c r="R11" s="5" t="n">
        <v>57120.00000000001</v>
      </c>
      <c r="S11" s="5" t="n">
        <v>57120.00000000001</v>
      </c>
      <c r="T11" s="5" t="n">
        <v>57120.00000000001</v>
      </c>
      <c r="U11" s="5" t="n">
        <v>57120.00000000001</v>
      </c>
      <c r="V11" s="5" t="n">
        <v>57120.00000000001</v>
      </c>
      <c r="W11" s="16">
        <f>SUM(B11:V11)</f>
        <v/>
      </c>
    </row>
    <row r="12">
      <c r="A12" s="4" t="inlineStr">
        <is>
          <t>Stripe-Gebühren</t>
        </is>
      </c>
      <c r="B12" s="5" t="n">
        <v>2.55888</v>
      </c>
      <c r="C12" s="5" t="n">
        <v>5.70162</v>
      </c>
      <c r="D12" s="5" t="n">
        <v>8.720359999999999</v>
      </c>
      <c r="E12" s="5" t="n">
        <v>11.54324</v>
      </c>
      <c r="F12" s="5" t="n">
        <v>14.42198</v>
      </c>
      <c r="G12" s="5" t="n">
        <v>17.44072</v>
      </c>
      <c r="H12" s="5" t="n">
        <v>20.2636</v>
      </c>
      <c r="I12" s="5" t="n">
        <v>23.14234</v>
      </c>
      <c r="J12" s="5" t="n">
        <v>25.96522</v>
      </c>
      <c r="K12" s="5" t="n">
        <v>28.5241</v>
      </c>
      <c r="L12" s="5" t="n">
        <v>32.1267</v>
      </c>
      <c r="M12" s="5" t="n">
        <v>34.68558</v>
      </c>
      <c r="N12" s="5" t="n">
        <v>1226.6076</v>
      </c>
      <c r="O12" s="5" t="n">
        <v>4107.0864</v>
      </c>
      <c r="P12" s="5" t="n">
        <v>6944.1336</v>
      </c>
      <c r="Q12" s="5" t="n">
        <v>6944.1336</v>
      </c>
      <c r="R12" s="5" t="n">
        <v>6944.1336</v>
      </c>
      <c r="S12" s="5" t="n">
        <v>6944.1336</v>
      </c>
      <c r="T12" s="5" t="n">
        <v>6944.1336</v>
      </c>
      <c r="U12" s="5" t="n">
        <v>6944.1336</v>
      </c>
      <c r="V12" s="5" t="n">
        <v>6944.1336</v>
      </c>
      <c r="W12" s="16">
        <f>SUM(B12:V12)</f>
        <v/>
      </c>
    </row>
    <row r="13">
      <c r="A13" s="4" t="inlineStr">
        <is>
          <t>Hosting · Backend</t>
        </is>
      </c>
      <c r="B13" s="5" t="n">
        <v>25</v>
      </c>
      <c r="C13" s="5" t="n">
        <v>25</v>
      </c>
      <c r="D13" s="5" t="n">
        <v>25</v>
      </c>
      <c r="E13" s="5" t="n">
        <v>25</v>
      </c>
      <c r="F13" s="5" t="n">
        <v>25</v>
      </c>
      <c r="G13" s="5" t="n">
        <v>25</v>
      </c>
      <c r="H13" s="5" t="n">
        <v>25</v>
      </c>
      <c r="I13" s="5" t="n">
        <v>25</v>
      </c>
      <c r="J13" s="5" t="n">
        <v>25</v>
      </c>
      <c r="K13" s="5" t="n">
        <v>25</v>
      </c>
      <c r="L13" s="5" t="n">
        <v>25</v>
      </c>
      <c r="M13" s="5" t="n">
        <v>25</v>
      </c>
      <c r="N13" s="5" t="n">
        <v>900</v>
      </c>
      <c r="O13" s="5" t="n">
        <v>4800</v>
      </c>
      <c r="P13" s="5" t="n">
        <v>7200</v>
      </c>
      <c r="Q13" s="5" t="n">
        <v>7200</v>
      </c>
      <c r="R13" s="5" t="n">
        <v>7200</v>
      </c>
      <c r="S13" s="5" t="n">
        <v>7200</v>
      </c>
      <c r="T13" s="5" t="n">
        <v>7200</v>
      </c>
      <c r="U13" s="5" t="n">
        <v>7200</v>
      </c>
      <c r="V13" s="5" t="n">
        <v>7200</v>
      </c>
      <c r="W13" s="16">
        <f>SUM(B13:V13)</f>
        <v/>
      </c>
    </row>
    <row r="14">
      <c r="A14" s="4" t="inlineStr">
        <is>
          <t>Recht · Buchhaltung · Versicherung</t>
        </is>
      </c>
      <c r="B14" s="5" t="n">
        <v>20</v>
      </c>
      <c r="C14" s="5" t="n">
        <v>20</v>
      </c>
      <c r="D14" s="5" t="n">
        <v>20</v>
      </c>
      <c r="E14" s="5" t="n">
        <v>20</v>
      </c>
      <c r="F14" s="5" t="n">
        <v>20</v>
      </c>
      <c r="G14" s="5" t="n">
        <v>20</v>
      </c>
      <c r="H14" s="5" t="n">
        <v>20</v>
      </c>
      <c r="I14" s="5" t="n">
        <v>20</v>
      </c>
      <c r="J14" s="5" t="n">
        <v>20</v>
      </c>
      <c r="K14" s="5" t="n">
        <v>20</v>
      </c>
      <c r="L14" s="5" t="n">
        <v>20</v>
      </c>
      <c r="M14" s="5" t="n">
        <v>20</v>
      </c>
      <c r="N14" s="5" t="n">
        <v>3000</v>
      </c>
      <c r="O14" s="5" t="n">
        <v>6000</v>
      </c>
      <c r="P14" s="5" t="n">
        <v>7200</v>
      </c>
      <c r="Q14" s="5" t="n">
        <v>7200</v>
      </c>
      <c r="R14" s="5" t="n">
        <v>7200</v>
      </c>
      <c r="S14" s="5" t="n">
        <v>7200</v>
      </c>
      <c r="T14" s="5" t="n">
        <v>7200</v>
      </c>
      <c r="U14" s="5" t="n">
        <v>7200</v>
      </c>
      <c r="V14" s="5" t="n">
        <v>7200</v>
      </c>
      <c r="W14" s="16">
        <f>SUM(B14:V14)</f>
        <v/>
      </c>
    </row>
    <row r="15">
      <c r="A15" s="4" t="inlineStr">
        <is>
          <t>Dev-Tools · Subscriptions</t>
        </is>
      </c>
      <c r="B15" s="5" t="n">
        <v>100</v>
      </c>
      <c r="C15" s="5" t="n">
        <v>100</v>
      </c>
      <c r="D15" s="5" t="n">
        <v>100</v>
      </c>
      <c r="E15" s="5" t="n">
        <v>100</v>
      </c>
      <c r="F15" s="5" t="n">
        <v>100</v>
      </c>
      <c r="G15" s="5" t="n">
        <v>100</v>
      </c>
      <c r="H15" s="5" t="n">
        <v>100</v>
      </c>
      <c r="I15" s="5" t="n">
        <v>100</v>
      </c>
      <c r="J15" s="5" t="n">
        <v>100</v>
      </c>
      <c r="K15" s="5" t="n">
        <v>100</v>
      </c>
      <c r="L15" s="5" t="n">
        <v>100</v>
      </c>
      <c r="M15" s="5" t="n">
        <v>100</v>
      </c>
      <c r="N15" s="5" t="n">
        <v>1440</v>
      </c>
      <c r="O15" s="5" t="n">
        <v>1800</v>
      </c>
      <c r="P15" s="5" t="n">
        <v>2400</v>
      </c>
      <c r="Q15" s="5" t="n">
        <v>2400</v>
      </c>
      <c r="R15" s="5" t="n">
        <v>2400</v>
      </c>
      <c r="S15" s="5" t="n">
        <v>2400</v>
      </c>
      <c r="T15" s="5" t="n">
        <v>2400</v>
      </c>
      <c r="U15" s="5" t="n">
        <v>2400</v>
      </c>
      <c r="V15" s="5" t="n">
        <v>2400</v>
      </c>
      <c r="W15" s="16">
        <f>SUM(B15:V15)</f>
        <v/>
      </c>
    </row>
    <row r="16">
      <c r="A16" s="4" t="inlineStr">
        <is>
          <t>Marketing · Merch</t>
        </is>
      </c>
      <c r="B16" s="5" t="n">
        <v>10</v>
      </c>
      <c r="C16" s="5" t="n">
        <v>10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10</v>
      </c>
      <c r="I16" s="5" t="n">
        <v>10</v>
      </c>
      <c r="J16" s="5" t="n">
        <v>10</v>
      </c>
      <c r="K16" s="5" t="n">
        <v>10</v>
      </c>
      <c r="L16" s="5" t="n">
        <v>10</v>
      </c>
      <c r="M16" s="5" t="n">
        <v>10</v>
      </c>
      <c r="N16" s="5" t="n">
        <v>1200</v>
      </c>
      <c r="O16" s="5" t="n">
        <v>6000</v>
      </c>
      <c r="P16" s="5" t="n">
        <v>7200</v>
      </c>
      <c r="Q16" s="5" t="n">
        <v>7200</v>
      </c>
      <c r="R16" s="5" t="n">
        <v>7200</v>
      </c>
      <c r="S16" s="5" t="n">
        <v>7200</v>
      </c>
      <c r="T16" s="5" t="n">
        <v>7200</v>
      </c>
      <c r="U16" s="5" t="n">
        <v>7200</v>
      </c>
      <c r="V16" s="5" t="n">
        <v>7200</v>
      </c>
      <c r="W16" s="16">
        <f>SUM(B16:V16)</f>
        <v/>
      </c>
    </row>
    <row r="17">
      <c r="A17" s="4" t="inlineStr">
        <is>
          <t>Sonstige</t>
        </is>
      </c>
      <c r="B17" s="5" t="n">
        <v>50</v>
      </c>
      <c r="C17" s="5" t="n">
        <v>50</v>
      </c>
      <c r="D17" s="5" t="n">
        <v>50</v>
      </c>
      <c r="E17" s="5" t="n">
        <v>50</v>
      </c>
      <c r="F17" s="5" t="n">
        <v>50</v>
      </c>
      <c r="G17" s="5" t="n">
        <v>50</v>
      </c>
      <c r="H17" s="5" t="n">
        <v>50</v>
      </c>
      <c r="I17" s="5" t="n">
        <v>50</v>
      </c>
      <c r="J17" s="5" t="n">
        <v>50</v>
      </c>
      <c r="K17" s="5" t="n">
        <v>50</v>
      </c>
      <c r="L17" s="5" t="n">
        <v>50</v>
      </c>
      <c r="M17" s="5" t="n">
        <v>50</v>
      </c>
      <c r="N17" s="5" t="n">
        <v>960</v>
      </c>
      <c r="O17" s="5" t="n">
        <v>2040</v>
      </c>
      <c r="P17" s="5" t="n">
        <v>2400</v>
      </c>
      <c r="Q17" s="5" t="n">
        <v>2400</v>
      </c>
      <c r="R17" s="5" t="n">
        <v>2400</v>
      </c>
      <c r="S17" s="5" t="n">
        <v>2400</v>
      </c>
      <c r="T17" s="5" t="n">
        <v>2400</v>
      </c>
      <c r="U17" s="5" t="n">
        <v>2400</v>
      </c>
      <c r="V17" s="5" t="n">
        <v>2400</v>
      </c>
      <c r="W17" s="16">
        <f>SUM(B17:V17)</f>
        <v/>
      </c>
    </row>
    <row r="18">
      <c r="A18" s="4" t="inlineStr">
        <is>
          <t>Personal (Entnahme + Mitarbeiter)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>
        <v>45000</v>
      </c>
      <c r="P18" s="5" t="n">
        <v>90000</v>
      </c>
      <c r="Q18" s="5" t="n">
        <v>90000</v>
      </c>
      <c r="R18" s="5" t="n">
        <v>90000</v>
      </c>
      <c r="S18" s="5" t="n">
        <v>90000</v>
      </c>
      <c r="T18" s="5" t="n">
        <v>90000</v>
      </c>
      <c r="U18" s="5" t="n">
        <v>90000</v>
      </c>
      <c r="V18" s="5" t="n">
        <v>90000</v>
      </c>
      <c r="W18" s="16">
        <f>SUM(B18:V18)</f>
        <v/>
      </c>
    </row>
    <row r="19">
      <c r="A19" s="4" t="inlineStr">
        <is>
          <t>Abschreibungen (AfA kalkulatorisch)</t>
        </is>
      </c>
      <c r="B19" s="5" t="n">
        <v>130.1944444444444</v>
      </c>
      <c r="C19" s="5" t="n">
        <v>130.1944444444444</v>
      </c>
      <c r="D19" s="5" t="n">
        <v>130.1944444444444</v>
      </c>
      <c r="E19" s="5" t="n">
        <v>130.1944444444444</v>
      </c>
      <c r="F19" s="5" t="n">
        <v>130.1944444444444</v>
      </c>
      <c r="G19" s="5" t="n">
        <v>130.1944444444444</v>
      </c>
      <c r="H19" s="5" t="n">
        <v>130.1944444444444</v>
      </c>
      <c r="I19" s="5" t="n">
        <v>130.1944444444444</v>
      </c>
      <c r="J19" s="5" t="n">
        <v>130.1944444444444</v>
      </c>
      <c r="K19" s="5" t="n">
        <v>130.1944444444444</v>
      </c>
      <c r="L19" s="5" t="n">
        <v>130.1944444444444</v>
      </c>
      <c r="M19" s="5" t="n">
        <v>130.1944444444444</v>
      </c>
      <c r="N19" s="5" t="n">
        <v>1562.333333333333</v>
      </c>
      <c r="O19" s="5" t="n">
        <v>1562.333333333333</v>
      </c>
      <c r="P19" s="5" t="n">
        <v>229</v>
      </c>
      <c r="Q19" s="5" t="n">
        <v>229</v>
      </c>
      <c r="R19" s="5" t="n">
        <v>29</v>
      </c>
      <c r="S19" s="5" t="n">
        <v>29</v>
      </c>
      <c r="T19" s="5" t="n">
        <v>29</v>
      </c>
      <c r="U19" s="5" t="n">
        <v>29</v>
      </c>
      <c r="V19" s="5" t="n">
        <v>29</v>
      </c>
      <c r="W19" s="16">
        <f>SUM(B19:V19)</f>
        <v/>
      </c>
    </row>
    <row r="20">
      <c r="A20" s="4" t="inlineStr">
        <is>
          <t>Mikromezzanin-Zinsen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>
        <v>3666.666666666667</v>
      </c>
      <c r="P20" s="5" t="n">
        <v>4000</v>
      </c>
      <c r="Q20" s="5" t="n">
        <v>4000</v>
      </c>
      <c r="R20" s="5" t="n">
        <v>4000</v>
      </c>
      <c r="S20" s="5" t="n">
        <v>4000</v>
      </c>
      <c r="T20" s="5" t="n">
        <v>4000</v>
      </c>
      <c r="U20" s="5" t="n">
        <v>4000</v>
      </c>
      <c r="V20" s="5" t="n">
        <v>4000</v>
      </c>
      <c r="W20" s="16">
        <f>SUM(B20:V20)</f>
        <v/>
      </c>
    </row>
    <row r="21">
      <c r="A21" s="10" t="inlineStr">
        <is>
          <t>Summe Aufwendungen</t>
        </is>
      </c>
      <c r="B21" s="6" t="n">
        <v>376.1533244444444</v>
      </c>
      <c r="C21" s="6" t="n">
        <v>422.4960644444444</v>
      </c>
      <c r="D21" s="6" t="n">
        <v>463.9148044444445</v>
      </c>
      <c r="E21" s="6" t="n">
        <v>505.1376844444445</v>
      </c>
      <c r="F21" s="6" t="n">
        <v>551.2164244444444</v>
      </c>
      <c r="G21" s="6" t="n">
        <v>592.6351644444444</v>
      </c>
      <c r="H21" s="6" t="n">
        <v>633.8580444444444</v>
      </c>
      <c r="I21" s="6" t="n">
        <v>679.9367844444445</v>
      </c>
      <c r="J21" s="6" t="n">
        <v>721.1596644444445</v>
      </c>
      <c r="K21" s="6" t="n">
        <v>762.1185444444444</v>
      </c>
      <c r="L21" s="6" t="n">
        <v>808.9211444444444</v>
      </c>
      <c r="M21" s="6" t="n">
        <v>849.8800244444444</v>
      </c>
      <c r="N21" s="6" t="n">
        <v>27568.94093333333</v>
      </c>
      <c r="O21" s="6" t="n">
        <v>108576.0864</v>
      </c>
      <c r="P21" s="6" t="n">
        <v>184693.1336</v>
      </c>
      <c r="Q21" s="6" t="n">
        <v>184693.1336</v>
      </c>
      <c r="R21" s="6" t="n">
        <v>184493.1336</v>
      </c>
      <c r="S21" s="6" t="n">
        <v>184493.1336</v>
      </c>
      <c r="T21" s="6" t="n">
        <v>184493.1336</v>
      </c>
      <c r="U21" s="6" t="n">
        <v>184493.1336</v>
      </c>
      <c r="V21" s="6" t="n">
        <v>184493.1336</v>
      </c>
      <c r="W21" s="8">
        <f>SUM(B21:V21)</f>
        <v/>
      </c>
    </row>
    <row r="23">
      <c r="A23" s="19" t="inlineStr">
        <is>
          <t>Rentabilität im laufenden Monat/Jahr</t>
        </is>
      </c>
      <c r="B23" s="20">
        <f>B8-B21</f>
        <v/>
      </c>
      <c r="C23" s="20">
        <f>C8-C21</f>
        <v/>
      </c>
      <c r="D23" s="20">
        <f>D8-D21</f>
        <v/>
      </c>
      <c r="E23" s="20">
        <f>E8-E21</f>
        <v/>
      </c>
      <c r="F23" s="20">
        <f>F8-F21</f>
        <v/>
      </c>
      <c r="G23" s="20">
        <f>G8-G21</f>
        <v/>
      </c>
      <c r="H23" s="20">
        <f>H8-H21</f>
        <v/>
      </c>
      <c r="I23" s="20">
        <f>I8-I21</f>
        <v/>
      </c>
      <c r="J23" s="20">
        <f>J8-J21</f>
        <v/>
      </c>
      <c r="K23" s="20">
        <f>K8-K21</f>
        <v/>
      </c>
      <c r="L23" s="20">
        <f>L8-L21</f>
        <v/>
      </c>
      <c r="M23" s="20">
        <f>M8-M21</f>
        <v/>
      </c>
      <c r="N23" s="20">
        <f>N8-N21</f>
        <v/>
      </c>
      <c r="O23" s="20">
        <f>O8-O21</f>
        <v/>
      </c>
      <c r="P23" s="20">
        <f>P8-P21</f>
        <v/>
      </c>
      <c r="Q23" s="20">
        <f>Q8-Q21</f>
        <v/>
      </c>
      <c r="R23" s="20">
        <f>R8-R21</f>
        <v/>
      </c>
      <c r="S23" s="20">
        <f>S8-S21</f>
        <v/>
      </c>
      <c r="T23" s="20">
        <f>T8-T21</f>
        <v/>
      </c>
      <c r="U23" s="20">
        <f>U8-U21</f>
        <v/>
      </c>
      <c r="V23" s="20">
        <f>V8-V21</f>
        <v/>
      </c>
      <c r="W23" s="20">
        <f>W8-W21</f>
        <v/>
      </c>
    </row>
    <row r="24">
      <c r="A24" s="19" t="inlineStr">
        <is>
          <t>Kumulierte Rentabilität</t>
        </is>
      </c>
      <c r="B24" s="20">
        <f>B23</f>
        <v/>
      </c>
      <c r="C24" s="20">
        <f>B24+C23</f>
        <v/>
      </c>
      <c r="D24" s="20">
        <f>C24+D23</f>
        <v/>
      </c>
      <c r="E24" s="20">
        <f>D24+E23</f>
        <v/>
      </c>
      <c r="F24" s="20">
        <f>E24+F23</f>
        <v/>
      </c>
      <c r="G24" s="20">
        <f>F24+G23</f>
        <v/>
      </c>
      <c r="H24" s="20">
        <f>G24+H23</f>
        <v/>
      </c>
      <c r="I24" s="20">
        <f>H24+I23</f>
        <v/>
      </c>
      <c r="J24" s="20">
        <f>I24+J23</f>
        <v/>
      </c>
      <c r="K24" s="20">
        <f>J24+K23</f>
        <v/>
      </c>
      <c r="L24" s="20">
        <f>K24+L23</f>
        <v/>
      </c>
      <c r="M24" s="20">
        <f>L24+M23</f>
        <v/>
      </c>
      <c r="N24" s="20">
        <f>M24+N23</f>
        <v/>
      </c>
      <c r="O24" s="20">
        <f>N24+O23</f>
        <v/>
      </c>
      <c r="P24" s="20">
        <f>O24+P23</f>
        <v/>
      </c>
      <c r="Q24" s="20">
        <f>P24+Q23</f>
        <v/>
      </c>
      <c r="R24" s="20">
        <f>Q24+R23</f>
        <v/>
      </c>
      <c r="S24" s="20">
        <f>R24+S23</f>
        <v/>
      </c>
      <c r="T24" s="20">
        <f>S24+T23</f>
        <v/>
      </c>
      <c r="U24" s="20">
        <f>T24+U23</f>
        <v/>
      </c>
      <c r="V24" s="20">
        <f>U24+V23</f>
        <v/>
      </c>
      <c r="W24" s="20">
        <f>V24+W23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2026-05-26T10:19:56Z</dcterms:created>
  <dcterms:modified xmlns:dcterms="http://purl.org/dc/terms/" xmlns:xsi="http://www.w3.org/2001/XMLSchema-instance" xsi:type="dcterms:W3CDTF">2026-05-26T10:19:56Z</dcterms:modified>
</cp:coreProperties>
</file>